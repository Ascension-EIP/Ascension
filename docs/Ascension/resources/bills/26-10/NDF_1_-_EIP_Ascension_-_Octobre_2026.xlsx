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pitechfr-my.sharepoint.com/personal/camille_duszko_epitech_eu/Documents/Documents/"/>
    </mc:Choice>
  </mc:AlternateContent>
  <xr:revisionPtr revIDLastSave="0" documentId="8_{4B49320A-B770-4ECA-A124-CF7CA6260826}" xr6:coauthVersionLast="47" xr6:coauthVersionMax="47" xr10:uidLastSave="{00000000-0000-0000-0000-000000000000}"/>
  <bookViews>
    <workbookView xWindow="3705" yWindow="-15165" windowWidth="24330" windowHeight="14700" firstSheet="1" activeTab="1" xr2:uid="{00000000-000D-0000-FFFF-FFFF00000000}"/>
  </bookViews>
  <sheets>
    <sheet name="Mode d'emploi" sheetId="3" r:id="rId1"/>
    <sheet name="NDF A IMPRIMER Détail" sheetId="1" r:id="rId2"/>
    <sheet name="NDF A IMPRIMER pour comptable " sheetId="4" r:id="rId3"/>
    <sheet name="Paramétrage" sheetId="2" r:id="rId4"/>
  </sheets>
  <definedNames>
    <definedName name="_xlnm._FilterDatabase" localSheetId="3" hidden="1">Paramétrage!$J$73:$M$223</definedName>
    <definedName name="AUTRE">Paramétrage!$L$3:$L$18</definedName>
    <definedName name="CEI">Paramétrage!$P$21:$P$36</definedName>
    <definedName name="CODING">Paramétrage!$S$21:$S$36</definedName>
    <definedName name="Coeff_Fiscal">'NDF A IMPRIMER Détail'!$I$13</definedName>
    <definedName name="COMEVE">Paramétrage!$P$3:$P$8</definedName>
    <definedName name="CORP">Paramétrage!$L$21:$L$36</definedName>
    <definedName name="DIGITAL">Paramétrage!$N$21:$N$36</definedName>
    <definedName name="Hotel">Paramétrage!$C$16</definedName>
    <definedName name="IT">Paramétrage!$M$21:$M$36</definedName>
    <definedName name="JPO">Paramétrage!$N$3:$N$8</definedName>
    <definedName name="Limit_dej">Paramétrage!$C$14</definedName>
    <definedName name="Limit_Diner">Paramétrage!$C$15</definedName>
    <definedName name="_xlnm.Print_Area" localSheetId="0">'Mode d''emploi'!$B$3:$R$35</definedName>
    <definedName name="_xlnm.Print_Area" localSheetId="1">'NDF A IMPRIMER Détail'!$A$1:$K$46</definedName>
    <definedName name="_xlnm.Print_Area" localSheetId="2">'NDF A IMPRIMER pour comptable '!$A$1:$H$33</definedName>
    <definedName name="Puissance_Fiscale">'NDF A IMPRIMER Détail'!$I$11</definedName>
    <definedName name="RE">Paramétrage!$Q$21:$Q$36</definedName>
    <definedName name="RI">Paramétrage!$O$21:$O$36</definedName>
    <definedName name="SALON">Paramétrage!$O$3:$O$8</definedName>
    <definedName name="SAMSUNG">Paramétrage!$T$21:$T$36</definedName>
    <definedName name="SEM">Paramétrage!$M$3:$M$8</definedName>
    <definedName name="WAC">Paramétrage!$R$21:$R$36</definedName>
    <definedName name="WCS">Paramétrage!$U$21:$U$36</definedName>
  </definedNames>
  <calcPr calcId="191028"/>
  <pivotCaches>
    <pivotCache cacheId="10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8" i="1"/>
  <c r="K19" i="1"/>
  <c r="M18" i="1"/>
  <c r="K20" i="1"/>
  <c r="L20" i="1" s="1"/>
  <c r="K21" i="1"/>
  <c r="L21" i="1" s="1"/>
  <c r="K22" i="1"/>
  <c r="L22" i="1" s="1"/>
  <c r="K23" i="1"/>
  <c r="K24" i="1"/>
  <c r="L24" i="1" s="1"/>
  <c r="K25" i="1"/>
  <c r="K26" i="1"/>
  <c r="L26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O26" i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17" i="1"/>
  <c r="P17" i="1" s="1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74" i="2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17" i="1"/>
  <c r="P26" i="1"/>
  <c r="P25" i="1"/>
  <c r="D6" i="1"/>
  <c r="R26" i="1"/>
  <c r="R17" i="1"/>
  <c r="R18" i="1"/>
  <c r="R19" i="1"/>
  <c r="R20" i="1"/>
  <c r="R21" i="1"/>
  <c r="R22" i="1"/>
  <c r="R23" i="1"/>
  <c r="R24" i="1"/>
  <c r="R25" i="1"/>
  <c r="R27" i="1"/>
  <c r="R28" i="1"/>
  <c r="R29" i="1"/>
  <c r="R30" i="1"/>
  <c r="R31" i="1"/>
  <c r="R32" i="1"/>
  <c r="R33" i="1"/>
  <c r="R34" i="1"/>
  <c r="R35" i="1"/>
  <c r="R36" i="1"/>
  <c r="I13" i="1"/>
  <c r="K28" i="1"/>
  <c r="M28" i="1" s="1"/>
  <c r="S28" i="1" s="1"/>
  <c r="E32" i="2"/>
  <c r="E37" i="2"/>
  <c r="E38" i="2"/>
  <c r="E39" i="2"/>
  <c r="E40" i="2"/>
  <c r="E41" i="2"/>
  <c r="I4" i="1"/>
  <c r="I3" i="1"/>
  <c r="E34" i="2"/>
  <c r="E35" i="2"/>
  <c r="E36" i="2"/>
  <c r="E28" i="2"/>
  <c r="K27" i="1"/>
  <c r="L27" i="1" s="1"/>
  <c r="K30" i="1"/>
  <c r="L30" i="1" s="1"/>
  <c r="K31" i="1"/>
  <c r="M31" i="1" s="1"/>
  <c r="S31" i="1" s="1"/>
  <c r="K32" i="1"/>
  <c r="K33" i="1"/>
  <c r="L33" i="1" s="1"/>
  <c r="K34" i="1"/>
  <c r="M34" i="1" s="1"/>
  <c r="K35" i="1"/>
  <c r="K36" i="1"/>
  <c r="L36" i="1" s="1"/>
  <c r="E53" i="2"/>
  <c r="E54" i="2"/>
  <c r="E55" i="2"/>
  <c r="E56" i="2"/>
  <c r="E52" i="2"/>
  <c r="H13" i="1"/>
  <c r="E23" i="2"/>
  <c r="E24" i="2"/>
  <c r="E25" i="2"/>
  <c r="E26" i="2"/>
  <c r="E27" i="2"/>
  <c r="E29" i="2"/>
  <c r="E30" i="2"/>
  <c r="E31" i="2"/>
  <c r="E33" i="2"/>
  <c r="E42" i="2"/>
  <c r="E43" i="2"/>
  <c r="E44" i="2"/>
  <c r="E45" i="2"/>
  <c r="E46" i="2"/>
  <c r="E47" i="2"/>
  <c r="E48" i="2"/>
  <c r="E49" i="2"/>
  <c r="E50" i="2"/>
  <c r="E51" i="2"/>
  <c r="M27" i="1"/>
  <c r="S27" i="1" s="1"/>
  <c r="M21" i="1"/>
  <c r="S21" i="1" s="1"/>
  <c r="M36" i="1"/>
  <c r="S36" i="1"/>
  <c r="L32" i="1"/>
  <c r="M25" i="1"/>
  <c r="S25" i="1" s="1"/>
  <c r="L25" i="1"/>
  <c r="L34" i="1"/>
  <c r="M32" i="1"/>
  <c r="S32" i="1" s="1"/>
  <c r="L19" i="1"/>
  <c r="M19" i="1"/>
  <c r="S19" i="1" s="1"/>
  <c r="M17" i="1"/>
  <c r="S17" i="1" s="1"/>
  <c r="K29" i="1"/>
  <c r="M29" i="1"/>
  <c r="M20" i="1"/>
  <c r="S20" i="1" s="1"/>
  <c r="M22" i="1"/>
  <c r="S22" i="1"/>
  <c r="M23" i="1"/>
  <c r="S23" i="1"/>
  <c r="L23" i="1"/>
  <c r="S29" i="1" l="1"/>
  <c r="M30" i="1"/>
  <c r="S30" i="1" s="1"/>
  <c r="L28" i="1"/>
  <c r="L29" i="1"/>
  <c r="L31" i="1"/>
  <c r="L18" i="1"/>
  <c r="S18" i="1"/>
  <c r="M26" i="1"/>
  <c r="S26" i="1" s="1"/>
  <c r="M24" i="1"/>
  <c r="S24" i="1" s="1"/>
  <c r="M35" i="1"/>
  <c r="S35" i="1" s="1"/>
  <c r="M33" i="1"/>
  <c r="S33" i="1" s="1"/>
  <c r="L35" i="1"/>
  <c r="S34" i="1"/>
  <c r="K15" i="1"/>
  <c r="C42" i="1" s="1"/>
  <c r="L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Aurélien PELOIS</author>
    <author>tc={40B0370B-0FE3-406A-822A-80226ED69A06}</author>
  </authors>
  <commentList>
    <comment ref="I11" authorId="0" shapeId="0" xr:uid="{00000000-0006-0000-0100-000001000000}">
      <text>
        <r>
          <rPr>
            <b/>
            <sz val="9"/>
            <color indexed="81"/>
            <rFont val="Candara"/>
            <family val="2"/>
          </rPr>
          <t>Renseignez la puissance Fiscale de votre véhicule au cas où vous devriez vous faire rembourser des indémnités kilométriques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6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 rempli si la NDF concerne plusieurs villes ou dépt spécifiques. Si elle ne concerne qu'une ville ou dépt spécifique ne remplir seulement que la ville d'en-tête.</t>
      </text>
    </comment>
  </commentList>
</comments>
</file>

<file path=xl/sharedStrings.xml><?xml version="1.0" encoding="utf-8"?>
<sst xmlns="http://schemas.openxmlformats.org/spreadsheetml/2006/main" count="934" uniqueCount="256">
  <si>
    <t>DAFIONIS</t>
  </si>
  <si>
    <t>Maquette de Note de Frais</t>
  </si>
  <si>
    <t>Prénom :</t>
  </si>
  <si>
    <t>Nicolas</t>
  </si>
  <si>
    <t>Période du</t>
  </si>
  <si>
    <t>NOM :</t>
  </si>
  <si>
    <t>TORO</t>
  </si>
  <si>
    <t>Au</t>
  </si>
  <si>
    <t>Fonction :</t>
  </si>
  <si>
    <t>Etudiant</t>
  </si>
  <si>
    <t>Ecole/Prog/Dépt :</t>
  </si>
  <si>
    <t>EPITECH IT</t>
  </si>
  <si>
    <t>Ville :</t>
  </si>
  <si>
    <t>PARIS et RP</t>
  </si>
  <si>
    <t xml:space="preserve">Disposez vous d'une avance  sur frais ? </t>
  </si>
  <si>
    <t>Non</t>
  </si>
  <si>
    <t>Motif :</t>
  </si>
  <si>
    <t>Infrastructure et nom de domaine pour l'Epitech Innovative Project (EIP) "Ascension"</t>
  </si>
  <si>
    <t>Puissance Fiscale :</t>
  </si>
  <si>
    <t>Montant de la NDF</t>
  </si>
  <si>
    <t>à remplir (impérativement)</t>
  </si>
  <si>
    <t>A remplir Obligatoirement pour les Repas</t>
  </si>
  <si>
    <t>N° du ticket</t>
  </si>
  <si>
    <t>Ecole/Prog/Dépt</t>
  </si>
  <si>
    <t>Ville</t>
  </si>
  <si>
    <t>Date
JJ/MM/AAAA</t>
  </si>
  <si>
    <t>Evénement</t>
  </si>
  <si>
    <t>Type de dépense</t>
  </si>
  <si>
    <t>Total</t>
  </si>
  <si>
    <t>Déjeuner/Dîner</t>
  </si>
  <si>
    <t>Nb de pers</t>
  </si>
  <si>
    <t>Commentaire</t>
  </si>
  <si>
    <t>Remboursement Calculé</t>
  </si>
  <si>
    <t>Numéro de compte</t>
  </si>
  <si>
    <t>Libellé de compte</t>
  </si>
  <si>
    <t>Menu déroulant ville</t>
  </si>
  <si>
    <t>Colonne1</t>
  </si>
  <si>
    <t>Section Ana</t>
  </si>
  <si>
    <t>Montant NDF</t>
  </si>
  <si>
    <t>Menu déroulant</t>
  </si>
  <si>
    <t>Colonne2</t>
  </si>
  <si>
    <t>Autre</t>
  </si>
  <si>
    <t>Achats Informatiques</t>
  </si>
  <si>
    <t>Nom de domaine (OVH)</t>
  </si>
  <si>
    <t>VPS (VPS-4 2027 OVH)</t>
  </si>
  <si>
    <t>Date et Signature du Salarié :</t>
  </si>
  <si>
    <t>Date et Signature du Responsable :</t>
  </si>
  <si>
    <t>JOINDRE A CE DETAIL L'ONGLET "NDF A IMPRIMER pour comptable" SANS QUOI L'ECRITURE COMPTABLE NE SERA PAS PASSEE ET LE REMBOURSEMENT N'AURA PAS LIEU</t>
  </si>
  <si>
    <t>Page 1 / 2</t>
  </si>
  <si>
    <t>Récap Comptable</t>
  </si>
  <si>
    <t>NDF €</t>
  </si>
  <si>
    <t>FOURNITURES DIVERS INFORMATIQUE</t>
  </si>
  <si>
    <t>0068 - IT PARIS</t>
  </si>
  <si>
    <t>en attente</t>
  </si>
  <si>
    <t>Grand Total</t>
  </si>
  <si>
    <t>Page 2 / 2</t>
  </si>
  <si>
    <t>IONIS</t>
  </si>
  <si>
    <t>Ecole/Programme/département</t>
  </si>
  <si>
    <t>Liste Déroulantes</t>
  </si>
  <si>
    <t>Séminaire interne</t>
  </si>
  <si>
    <t>JPO-Visite Lycée-Session découverte</t>
  </si>
  <si>
    <t>Salons</t>
  </si>
  <si>
    <t>Communication événementielle</t>
  </si>
  <si>
    <t>Barème Fiscal automobile 2020</t>
  </si>
  <si>
    <t>Type de dépenses</t>
  </si>
  <si>
    <t>type de repas</t>
  </si>
  <si>
    <t>Avance</t>
  </si>
  <si>
    <t>AUTRE</t>
  </si>
  <si>
    <t>SEM</t>
  </si>
  <si>
    <t>JPO</t>
  </si>
  <si>
    <t>SALON</t>
  </si>
  <si>
    <t>COMEVE</t>
  </si>
  <si>
    <t>Tous programme</t>
  </si>
  <si>
    <t>CORP</t>
  </si>
  <si>
    <t>Puissance administrative</t>
  </si>
  <si>
    <t>Jusqu'à 5 000 km</t>
  </si>
  <si>
    <t>IT</t>
  </si>
  <si>
    <t>Achat Média hors WEB</t>
  </si>
  <si>
    <t>Déjeuner</t>
  </si>
  <si>
    <t>Oui</t>
  </si>
  <si>
    <t>Hébergement</t>
  </si>
  <si>
    <t>3 CV</t>
  </si>
  <si>
    <t>km x 0,41</t>
  </si>
  <si>
    <t>EPITECH DIGITAL</t>
  </si>
  <si>
    <t>DIGITAL</t>
  </si>
  <si>
    <t>Achat Média WEB</t>
  </si>
  <si>
    <t>Dîner</t>
  </si>
  <si>
    <t>Repas</t>
  </si>
  <si>
    <t>4 CV</t>
  </si>
  <si>
    <t>km x 0,493</t>
  </si>
  <si>
    <t>Relations Internationales</t>
  </si>
  <si>
    <t>RI</t>
  </si>
  <si>
    <t>Taxi - Train - Avion - Péage - Parking</t>
  </si>
  <si>
    <t>5 CV</t>
  </si>
  <si>
    <t>km x 0,543</t>
  </si>
  <si>
    <t>CEI</t>
  </si>
  <si>
    <t>Fournitures de bureau</t>
  </si>
  <si>
    <t>Véhicule Personnel (trajet en Km Ecole/Salon)</t>
  </si>
  <si>
    <t>6 CV</t>
  </si>
  <si>
    <t>km x 0,568</t>
  </si>
  <si>
    <t>Relations Entreprises</t>
  </si>
  <si>
    <t>RE</t>
  </si>
  <si>
    <t>Fournitures pédagogique (support de cours etc)</t>
  </si>
  <si>
    <t>7 CV ou plus</t>
  </si>
  <si>
    <t>km x 0,595</t>
  </si>
  <si>
    <t>WAC</t>
  </si>
  <si>
    <t>Frais de téléphone</t>
  </si>
  <si>
    <t>plus de 7CV</t>
  </si>
  <si>
    <t>&gt;7</t>
  </si>
  <si>
    <t>CODING</t>
  </si>
  <si>
    <t>Frais Postaux</t>
  </si>
  <si>
    <t>SAMSUNG</t>
  </si>
  <si>
    <t>WAC/CODING/SAMSUNG</t>
  </si>
  <si>
    <t>WCS</t>
  </si>
  <si>
    <t>Impressions Editions</t>
  </si>
  <si>
    <t>Plafonds d'indémnisation</t>
  </si>
  <si>
    <t>montant</t>
  </si>
  <si>
    <t>dejeuner</t>
  </si>
  <si>
    <t>diner</t>
  </si>
  <si>
    <t>Veille Technologique (Colloque, revue, etc)</t>
  </si>
  <si>
    <t>Voyage et séminaire étudiants (HORS Salons, JPO, opération com)</t>
  </si>
  <si>
    <t>Mapping Comptable</t>
  </si>
  <si>
    <t xml:space="preserve">Villes : </t>
  </si>
  <si>
    <t>Section analytique :</t>
  </si>
  <si>
    <t>Evènement</t>
  </si>
  <si>
    <t>Type de Dépense</t>
  </si>
  <si>
    <t>Compte Comptable</t>
  </si>
  <si>
    <t>Libellé comptable</t>
  </si>
  <si>
    <t>Column1</t>
  </si>
  <si>
    <t>NATIONAL</t>
  </si>
  <si>
    <t>ACHAT MEDIAS GRAND PUBLIC</t>
  </si>
  <si>
    <t>National</t>
  </si>
  <si>
    <t xml:space="preserve">0003 - NATIONALE </t>
  </si>
  <si>
    <t>AUTRES ACHATS WEB</t>
  </si>
  <si>
    <t>Bordeaux</t>
  </si>
  <si>
    <t xml:space="preserve">0006 - BORDEAUX </t>
  </si>
  <si>
    <t>BORDEAUX</t>
  </si>
  <si>
    <t>Lille</t>
  </si>
  <si>
    <t>Analytique inexistant</t>
  </si>
  <si>
    <t>LA REUNION</t>
  </si>
  <si>
    <t>FOURNITURES ADMINISTRATIVES</t>
  </si>
  <si>
    <t>Lyon</t>
  </si>
  <si>
    <t>0004 - LYON</t>
  </si>
  <si>
    <t>LILLE</t>
  </si>
  <si>
    <t>FOURNITURES PEDAGOGIQUES</t>
  </si>
  <si>
    <t>Marseille</t>
  </si>
  <si>
    <t>0005 - MARSEILLE</t>
  </si>
  <si>
    <t>LYON</t>
  </si>
  <si>
    <t>TELEPHONE</t>
  </si>
  <si>
    <t>Montpellier</t>
  </si>
  <si>
    <t>MARSEILLE</t>
  </si>
  <si>
    <t>FRAIS POSTAUX</t>
  </si>
  <si>
    <t>Nantes</t>
  </si>
  <si>
    <t>MONTPELLIER</t>
  </si>
  <si>
    <t>VOYAGES ET DEPLACEMENTS</t>
  </si>
  <si>
    <t>Paris et RP</t>
  </si>
  <si>
    <t>0001 - PARIS</t>
  </si>
  <si>
    <t>MULHOUSE</t>
  </si>
  <si>
    <t xml:space="preserve">AUTRES EDITIONS </t>
  </si>
  <si>
    <t>Rennes</t>
  </si>
  <si>
    <t>NANCY</t>
  </si>
  <si>
    <t>MISSIONS ET RECEPTIONS</t>
  </si>
  <si>
    <t>Strasbourg</t>
  </si>
  <si>
    <t>NANTES</t>
  </si>
  <si>
    <t>Toulouse</t>
  </si>
  <si>
    <t>0002 - TOULOUSE</t>
  </si>
  <si>
    <t>NICE</t>
  </si>
  <si>
    <t>RENNES</t>
  </si>
  <si>
    <t>VEILLE TECHNOLOGIQUE (DONS&amp;COTISA)</t>
  </si>
  <si>
    <t>STRASBOURG</t>
  </si>
  <si>
    <t>Voyage et séminaire étudiants</t>
  </si>
  <si>
    <t>TOULOUSE</t>
  </si>
  <si>
    <t xml:space="preserve">FRAIS SEMINAIRES INTERNE </t>
  </si>
  <si>
    <t>Frais de déplacts et rest JPO Lycée</t>
  </si>
  <si>
    <t>JPO Visites LYC Session découvertes</t>
  </si>
  <si>
    <t>0025 - NATIONAL</t>
  </si>
  <si>
    <t>0072 - IT NATIONAL</t>
  </si>
  <si>
    <t>0073 - DIGITAL NATIONAL</t>
  </si>
  <si>
    <t>0046 - RI</t>
  </si>
  <si>
    <t>0044 - CEI</t>
  </si>
  <si>
    <t>0019 - RELATION ENTREPRISES</t>
  </si>
  <si>
    <t>0039 - WEB ACADEMY NAT</t>
  </si>
  <si>
    <t>0032 - CODING ACADEMY NAT</t>
  </si>
  <si>
    <t>0040 - COD/WAC/SMG NATIONAL</t>
  </si>
  <si>
    <t xml:space="preserve">Frais de déplacts et rest salons </t>
  </si>
  <si>
    <t>0084 - DIGITAL PARIS</t>
  </si>
  <si>
    <t>0017 - WEB ACADEMY PARIS</t>
  </si>
  <si>
    <t>0018 - CODING ACADEMY PARIS</t>
  </si>
  <si>
    <t>0024 - SAMSUNG CAMPUS PARIS</t>
  </si>
  <si>
    <t>0004 - BORDEAUX</t>
  </si>
  <si>
    <t>0058 - IT BORDEAUX</t>
  </si>
  <si>
    <t>0074 - DIGITAL BORDEAUX</t>
  </si>
  <si>
    <t>0033 - WEB ACADEMY BORDEAUX</t>
  </si>
  <si>
    <t>0026 - CODING ACADEMY BORDEAUX</t>
  </si>
  <si>
    <t>0022 - LA REUNION</t>
  </si>
  <si>
    <t>0059 - IT LA REUNION</t>
  </si>
  <si>
    <t>0075 - DIGITAL LA REUNION</t>
  </si>
  <si>
    <t>0045 - WEB ACADEMY ST ANDRE</t>
  </si>
  <si>
    <t>0047 - CODING ACADEMY LA REUNION</t>
  </si>
  <si>
    <t>0006 - LILLE</t>
  </si>
  <si>
    <t>0060 - IT LILLE</t>
  </si>
  <si>
    <t>0076 - DIGITAL LILLE</t>
  </si>
  <si>
    <t>0034 - WEB ACADEMY LILLE</t>
  </si>
  <si>
    <t>0027 - CODING ACADEMY LILLE</t>
  </si>
  <si>
    <t>0002 - LYON</t>
  </si>
  <si>
    <t>0061 - IT LYON</t>
  </si>
  <si>
    <t>0077 - DIGITAL LYON</t>
  </si>
  <si>
    <t>0035 - WEB ACADEMY LYON</t>
  </si>
  <si>
    <t>0028 - CODING ACADEMY LYON</t>
  </si>
  <si>
    <t>COMMUNICATION EVENEMENTIELLE</t>
  </si>
  <si>
    <t>0013 - MARSEILLE</t>
  </si>
  <si>
    <t>0062 - IT MARSEILLE</t>
  </si>
  <si>
    <t>0078 - DIGITAL MARSEILLE</t>
  </si>
  <si>
    <t>0053 - WEB ACADEMIE MARSEILLE</t>
  </si>
  <si>
    <t>0048 - CODING ACADEMY MARSEILLE</t>
  </si>
  <si>
    <t>0009 - MONTPELLIER</t>
  </si>
  <si>
    <t>0063 - IT MONTPELLIER</t>
  </si>
  <si>
    <t>0079 - DIGITAL MONTPELLIER</t>
  </si>
  <si>
    <t>0054 - WEB ACADEMIE MONTPELLIER</t>
  </si>
  <si>
    <t>0049 - CODING ACADEMY MONTPELLIER</t>
  </si>
  <si>
    <t>0057 - EPITECH MULHOUSE</t>
  </si>
  <si>
    <t>0064 - IT MULHOUSE</t>
  </si>
  <si>
    <t>0080 - DIGITAL MULHOUSE</t>
  </si>
  <si>
    <t>0011 - NANCY</t>
  </si>
  <si>
    <t>0065 - IT NANCY</t>
  </si>
  <si>
    <t>0081 - DIGITAL NANCY</t>
  </si>
  <si>
    <t>0043 - WEB ACADEMY NANCY</t>
  </si>
  <si>
    <t>0050 - CODING ACADEMY NANCY</t>
  </si>
  <si>
    <t>0007 - NANTES</t>
  </si>
  <si>
    <t>0066 - IT NANTES</t>
  </si>
  <si>
    <t>0082 - DIGITAL NANTES</t>
  </si>
  <si>
    <t>0036 - WEB ACADEMY NANTES</t>
  </si>
  <si>
    <t>0029 - CODING ACADEMY NANTES</t>
  </si>
  <si>
    <t>0010 - NICE</t>
  </si>
  <si>
    <t>0067 - IT NICE</t>
  </si>
  <si>
    <t>0083 - DIGITAL NICE</t>
  </si>
  <si>
    <t>0055 - WEB ACADEMIE NICE</t>
  </si>
  <si>
    <t>0051 - CODING ACADEMY NICE</t>
  </si>
  <si>
    <t>0014 - RENNES</t>
  </si>
  <si>
    <t>0069 - IT RENNES</t>
  </si>
  <si>
    <t>0085 - DIGITAL RENNES</t>
  </si>
  <si>
    <t>0056 - WEB ACADEMIE RENNES</t>
  </si>
  <si>
    <t>0052 - CODING ACADEMY RENNES</t>
  </si>
  <si>
    <t>0003 - STRASBOURG</t>
  </si>
  <si>
    <t>0070 - IT STRASBOURG</t>
  </si>
  <si>
    <t>0086 - DIGITAL STRASBOURG</t>
  </si>
  <si>
    <t>0037 - WEB ACADEMY STRASBOURG</t>
  </si>
  <si>
    <t>0030 - CODING ACADEMY STRASBOURG</t>
  </si>
  <si>
    <t>0005 - TOULOUSE</t>
  </si>
  <si>
    <t>0071 - IT TOULOUSE</t>
  </si>
  <si>
    <t>0087 - DIGITAL TOULOUSE</t>
  </si>
  <si>
    <t>0038 - WEB ACADEMY TOULOUSE</t>
  </si>
  <si>
    <t>0031 - CODING ACADEMY TOULOUSE</t>
  </si>
  <si>
    <t>Prog</t>
  </si>
  <si>
    <t>Conc</t>
  </si>
  <si>
    <t>Analytique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</si>
</sst>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ndara"/>
      <family val="2"/>
    </font>
    <font>
      <sz val="11"/>
      <color rgb="FFFF0000"/>
      <name val="Candara"/>
      <family val="2"/>
    </font>
    <font>
      <b/>
      <sz val="11"/>
      <color theme="1"/>
      <name val="Candara"/>
      <family val="2"/>
    </font>
    <font>
      <i/>
      <sz val="11"/>
      <color theme="1"/>
      <name val="Candara"/>
      <family val="2"/>
    </font>
    <font>
      <i/>
      <sz val="11"/>
      <color rgb="FFFF0000"/>
      <name val="Candara"/>
      <family val="2"/>
    </font>
    <font>
      <u/>
      <sz val="11"/>
      <color theme="1"/>
      <name val="Candar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Candara"/>
      <family val="2"/>
    </font>
    <font>
      <sz val="11"/>
      <color theme="0"/>
      <name val="Candara"/>
      <family val="2"/>
    </font>
    <font>
      <sz val="11"/>
      <name val="Candara"/>
      <family val="2"/>
    </font>
    <font>
      <b/>
      <sz val="11"/>
      <color rgb="FFFF0000"/>
      <name val="Candara"/>
      <family val="2"/>
    </font>
    <font>
      <sz val="8"/>
      <name val="Candara"/>
      <family val="2"/>
    </font>
    <font>
      <sz val="22"/>
      <color theme="1"/>
      <name val="Candara"/>
      <family val="2"/>
    </font>
    <font>
      <b/>
      <sz val="12"/>
      <color theme="1"/>
      <name val="Candara"/>
      <family val="2"/>
    </font>
    <font>
      <sz val="8"/>
      <color rgb="FFFF0000"/>
      <name val="Candara"/>
      <family val="2"/>
    </font>
    <font>
      <sz val="8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right"/>
    </xf>
    <xf numFmtId="14" fontId="0" fillId="3" borderId="0" xfId="0" applyNumberFormat="1" applyFill="1" applyAlignment="1">
      <alignment horizontal="center"/>
    </xf>
    <xf numFmtId="0" fontId="5" fillId="3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2" xfId="0" applyFill="1" applyBorder="1" applyAlignment="1">
      <alignment vertical="top"/>
    </xf>
    <xf numFmtId="0" fontId="2" fillId="0" borderId="1" xfId="0" applyFont="1" applyBorder="1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/>
    <xf numFmtId="0" fontId="0" fillId="0" borderId="13" xfId="0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4" xfId="0" applyBorder="1"/>
    <xf numFmtId="0" fontId="0" fillId="0" borderId="20" xfId="0" applyBorder="1"/>
    <xf numFmtId="0" fontId="0" fillId="0" borderId="16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2" xfId="0" applyFont="1" applyFill="1" applyBorder="1"/>
    <xf numFmtId="0" fontId="2" fillId="5" borderId="1" xfId="0" applyFont="1" applyFill="1" applyBorder="1"/>
    <xf numFmtId="0" fontId="0" fillId="5" borderId="6" xfId="0" applyFill="1" applyBorder="1"/>
    <xf numFmtId="0" fontId="0" fillId="5" borderId="11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8" xfId="0" applyFill="1" applyBorder="1"/>
    <xf numFmtId="0" fontId="2" fillId="0" borderId="0" xfId="0" applyFont="1"/>
    <xf numFmtId="0" fontId="9" fillId="0" borderId="0" xfId="0" applyFont="1"/>
    <xf numFmtId="14" fontId="0" fillId="0" borderId="0" xfId="0" applyNumberFormat="1" applyAlignment="1" applyProtection="1">
      <alignment vertical="top"/>
      <protection locked="0"/>
    </xf>
    <xf numFmtId="0" fontId="0" fillId="0" borderId="13" xfId="0" applyBorder="1" applyAlignment="1" applyProtection="1">
      <alignment vertical="top"/>
      <protection locked="0"/>
    </xf>
    <xf numFmtId="0" fontId="0" fillId="0" borderId="14" xfId="0" applyBorder="1" applyAlignment="1" applyProtection="1">
      <alignment vertical="top"/>
      <protection locked="0"/>
    </xf>
    <xf numFmtId="0" fontId="0" fillId="0" borderId="6" xfId="0" applyBorder="1" applyAlignment="1" applyProtection="1">
      <alignment horizontal="center" vertical="top"/>
      <protection locked="0"/>
    </xf>
    <xf numFmtId="0" fontId="0" fillId="0" borderId="7" xfId="0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0" fillId="2" borderId="1" xfId="0" applyFill="1" applyBorder="1"/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14" fontId="0" fillId="0" borderId="0" xfId="0" applyNumberFormat="1"/>
    <xf numFmtId="0" fontId="0" fillId="2" borderId="1" xfId="0" applyFill="1" applyBorder="1" applyAlignment="1">
      <alignment horizontal="center"/>
    </xf>
    <xf numFmtId="0" fontId="0" fillId="5" borderId="7" xfId="0" applyFill="1" applyBorder="1"/>
    <xf numFmtId="0" fontId="0" fillId="5" borderId="9" xfId="0" applyFill="1" applyBorder="1"/>
    <xf numFmtId="0" fontId="2" fillId="5" borderId="21" xfId="0" applyFont="1" applyFill="1" applyBorder="1"/>
    <xf numFmtId="0" fontId="3" fillId="2" borderId="0" xfId="0" applyFont="1" applyFill="1" applyAlignment="1">
      <alignment horizontal="right"/>
    </xf>
    <xf numFmtId="4" fontId="0" fillId="0" borderId="0" xfId="0" applyNumberFormat="1" applyAlignment="1" applyProtection="1">
      <alignment vertical="top"/>
      <protection locked="0"/>
    </xf>
    <xf numFmtId="0" fontId="2" fillId="0" borderId="4" xfId="0" applyFont="1" applyBorder="1"/>
    <xf numFmtId="4" fontId="13" fillId="0" borderId="24" xfId="0" applyNumberFormat="1" applyFont="1" applyBorder="1"/>
    <xf numFmtId="0" fontId="0" fillId="3" borderId="0" xfId="0" applyFill="1" applyAlignment="1" applyProtection="1">
      <alignment horizontal="center"/>
      <protection locked="0"/>
    </xf>
    <xf numFmtId="0" fontId="0" fillId="0" borderId="2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22" xfId="0" applyFill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0" xfId="0" applyFont="1" applyFill="1"/>
    <xf numFmtId="0" fontId="0" fillId="3" borderId="25" xfId="0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3" borderId="25" xfId="0" applyFill="1" applyBorder="1"/>
    <xf numFmtId="0" fontId="0" fillId="0" borderId="26" xfId="0" applyBorder="1"/>
    <xf numFmtId="0" fontId="0" fillId="0" borderId="0" xfId="0" applyAlignment="1" applyProtection="1">
      <alignment horizontal="center" vertical="top"/>
      <protection locked="0"/>
    </xf>
    <xf numFmtId="0" fontId="11" fillId="0" borderId="0" xfId="0" applyFont="1"/>
    <xf numFmtId="0" fontId="11" fillId="0" borderId="6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 applyProtection="1">
      <alignment wrapText="1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16" xfId="0" applyBorder="1" applyAlignment="1" applyProtection="1">
      <alignment vertical="top"/>
      <protection locked="0"/>
    </xf>
    <xf numFmtId="0" fontId="0" fillId="0" borderId="8" xfId="0" applyBorder="1" applyAlignment="1" applyProtection="1">
      <alignment horizontal="center" vertical="top"/>
      <protection locked="0"/>
    </xf>
    <xf numFmtId="0" fontId="0" fillId="0" borderId="9" xfId="0" applyBorder="1" applyAlignment="1" applyProtection="1">
      <alignment horizontal="center" vertical="top"/>
      <protection locked="0"/>
    </xf>
    <xf numFmtId="0" fontId="9" fillId="3" borderId="0" xfId="0" applyFont="1" applyFill="1"/>
    <xf numFmtId="4" fontId="0" fillId="0" borderId="5" xfId="0" applyNumberFormat="1" applyBorder="1" applyProtection="1">
      <protection locked="0"/>
    </xf>
    <xf numFmtId="4" fontId="0" fillId="0" borderId="24" xfId="0" applyNumberFormat="1" applyBorder="1" applyProtection="1">
      <protection locked="0"/>
    </xf>
    <xf numFmtId="0" fontId="16" fillId="0" borderId="0" xfId="0" pivotButton="1" applyFont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/>
    <xf numFmtId="4" fontId="16" fillId="0" borderId="0" xfId="0" applyNumberFormat="1" applyFont="1"/>
    <xf numFmtId="0" fontId="0" fillId="3" borderId="10" xfId="0" applyFill="1" applyBorder="1" applyAlignment="1" applyProtection="1">
      <alignment horizontal="left" vertical="top"/>
      <protection locked="0"/>
    </xf>
    <xf numFmtId="0" fontId="0" fillId="3" borderId="3" xfId="0" applyFill="1" applyBorder="1" applyAlignment="1" applyProtection="1">
      <alignment horizontal="left" vertical="top"/>
      <protection locked="0"/>
    </xf>
    <xf numFmtId="0" fontId="15" fillId="3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1" fillId="3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4">
    <dxf>
      <numFmt numFmtId="0" formatCode="General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ndara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ndara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font>
        <i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font>
        <i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scheme val="none"/>
      </font>
      <numFmt numFmtId="0" formatCode="General"/>
      <fill>
        <patternFill patternType="solid">
          <fgColor indexed="64"/>
          <bgColor rgb="FFFFFF00"/>
        </patternFill>
      </fill>
    </dxf>
    <dxf>
      <numFmt numFmtId="4" formatCode="#,##0.00"/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</border>
      <protection locked="0" hidden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4" formatCode="#,##0.00"/>
      <alignment horizontal="general" vertical="top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</dxf>
    <dxf>
      <alignment vertical="top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  <protection locked="0" hidden="0"/>
    </dxf>
    <dxf>
      <fill>
        <patternFill patternType="solid">
          <fgColor indexed="64"/>
          <bgColor theme="0"/>
        </patternFill>
      </fill>
    </dxf>
    <dxf>
      <alignment vertical="top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</dxf>
    <dxf>
      <alignment horizontal="center" vertical="top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i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0"/>
      </font>
      <fill>
        <patternFill>
          <bgColor theme="0"/>
        </patternFill>
      </fill>
    </dxf>
    <dxf>
      <numFmt numFmtId="4" formatCode="#,##0.00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</xdr:row>
      <xdr:rowOff>174624</xdr:rowOff>
    </xdr:from>
    <xdr:to>
      <xdr:col>14</xdr:col>
      <xdr:colOff>66675</xdr:colOff>
      <xdr:row>39</xdr:row>
      <xdr:rowOff>165099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45F47C6-DA96-4E38-97E9-E0E09FBA3A8C}"/>
            </a:ext>
          </a:extLst>
        </xdr:cNvPr>
        <xdr:cNvSpPr/>
      </xdr:nvSpPr>
      <xdr:spPr>
        <a:xfrm>
          <a:off x="723900" y="358774"/>
          <a:ext cx="8943975" cy="6988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Mode d’emploi de la maquette Note de frais 2020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Prérequis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Tout d’abord renseignez vos Prénom, NOM, Fonction,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Ecole/Prog/Dept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et Ville (renseignez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ces 2 dernières catégories en utilisant le menu déroulant)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Remarque : Les dates se rempliront automatiquement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Renseignez le motif de votre Note de Frais (NdF)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Précisez si vous disposez d’une avance de frais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N’oubliez pas de mettre la puissance fiscale de votre véhicule si vous l’avez utilisé pour effectuer des trajets liés à cette NdF (</a:t>
          </a:r>
          <a:r>
            <a:rPr lang="fr-FR" sz="1100" i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cela servira pour calculer le coeff d’indemnisation kilométrique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Remplissage</a:t>
          </a:r>
          <a:endParaRPr lang="en-US" sz="1100" u="sng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Il est important de ne renseigner qu’une dépense par ligne.</a:t>
          </a:r>
        </a:p>
        <a:p>
          <a:endParaRPr lang="fr-FR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Il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n'est pas nécessaire de remplir de nouveau les colonnes B et C (Ecole/Prog/Dept et Ville) : elles seront remplies par défaut avec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les données des lignes 6 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et 7. Cependant, si une dépense a été engagée pour une autre entité et que vous la mettez sur la même feuille, vous pouvez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remplir ces colonnes.</a:t>
          </a: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Pour chaque ligne vous devez saisir Evènement </a:t>
          </a:r>
          <a:r>
            <a:rPr lang="fr-F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ET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le type de dépense (il s’agit de menus déroulants, choisissez la valeur dans la liste)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Renseignez le total (cela peut être des km ou un montant en €) 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S’il s’agit d’un repas n’oubliez pas de préciser (Déjeuner ou Dîner) ainsi que le nombre de personnes présentes.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Ajoutez un commentaire au besoin et obligatoire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si vous avez choisi la combinaison Autre / Autre afin que le comptable puisse affecter la dépense.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Renseignez le n° de la ligne de dépense sur votre justificatif.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 la fin de votre NdF vérifiez bien que tous les totaux sont présents et que vous n’avez pas oublié une information.</a:t>
          </a: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Dans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l'onglet "NDF A IMPRIMER pour comptable "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liquer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droit sur n'importe quelle cellule du tableau croisé dynamique "Récap Comptable" et cliquer sur Actualiser. L</a:t>
          </a:r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 total doit être le même que celui de votre note de frais. 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Imprimez les 2 onglets verts, agrafez vos justificatifs côte à côte au dos et signez-le.  Si le Tableau pour le comptable ne</a:t>
          </a:r>
          <a:r>
            <a:rPr lang="fr-F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lui ai pas transmis avec le détail signé par le responsable, le comptable ne pourra procéder à l'enregistrement de l'écriture et donc ne pourra procéder au paiement de la NDF.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en-US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161925</xdr:colOff>
      <xdr:row>30</xdr:row>
      <xdr:rowOff>47624</xdr:rowOff>
    </xdr:from>
    <xdr:to>
      <xdr:col>17</xdr:col>
      <xdr:colOff>609600</xdr:colOff>
      <xdr:row>51</xdr:row>
      <xdr:rowOff>9525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11750E-1793-475E-AACA-D9DA2D3256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796" t="39264" r="56504" b="22213"/>
        <a:stretch/>
      </xdr:blipFill>
      <xdr:spPr>
        <a:xfrm>
          <a:off x="9763125" y="5572124"/>
          <a:ext cx="2505075" cy="38290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odie Jamin" id="{7862FE6D-4297-45CE-988A-E81229DE7D26}" userId="S::elodie.jamin@ionis-group.com::988a0e32-69a7-4adf-b67f-3e99b1335f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800572569446" createdVersion="6" refreshedVersion="8" minRefreshableVersion="3" recordCount="20" xr:uid="{00000000-000A-0000-FFFF-FFFF12000000}">
  <cacheSource type="worksheet">
    <worksheetSource name="NDF"/>
  </cacheSource>
  <cacheFields count="19">
    <cacheField name="N° du ticket" numFmtId="0">
      <sharedItems containsSemiMixedTypes="0" containsString="0" containsNumber="1" containsInteger="1" minValue="1" maxValue="20"/>
    </cacheField>
    <cacheField name="Ecole/Prog/Dépt" numFmtId="0">
      <sharedItems containsNonDate="0" containsString="0" containsBlank="1"/>
    </cacheField>
    <cacheField name="Ville" numFmtId="0">
      <sharedItems containsNonDate="0" containsString="0" containsBlank="1"/>
    </cacheField>
    <cacheField name="Date_x000a_JJ/MM/AAAA" numFmtId="14">
      <sharedItems containsNonDate="0" containsDate="1" containsString="0" containsBlank="1" minDate="2026-10-13T00:00:00" maxDate="2026-10-14T00:00:00"/>
    </cacheField>
    <cacheField name="Evénement" numFmtId="0">
      <sharedItems containsBlank="1"/>
    </cacheField>
    <cacheField name="Type de dépense" numFmtId="0">
      <sharedItems containsBlank="1"/>
    </cacheField>
    <cacheField name="Total" numFmtId="4">
      <sharedItems containsString="0" containsBlank="1" containsNumber="1" minValue="0" maxValue="28.19"/>
    </cacheField>
    <cacheField name="Déjeuner/Dîner" numFmtId="0">
      <sharedItems containsNonDate="0" containsString="0" containsBlank="1"/>
    </cacheField>
    <cacheField name="Nb de pers" numFmtId="0">
      <sharedItems containsNonDate="0" containsString="0" containsBlank="1"/>
    </cacheField>
    <cacheField name="Commentaire" numFmtId="0">
      <sharedItems containsBlank="1"/>
    </cacheField>
    <cacheField name="Remboursement Calculé" numFmtId="4">
      <sharedItems containsSemiMixedTypes="0" containsString="0" containsNumber="1" minValue="0" maxValue="28.19"/>
    </cacheField>
    <cacheField name="Numéro de compte" numFmtId="0">
      <sharedItems containsMixedTypes="1" containsNumber="1" containsInteger="1" minValue="0" maxValue="467623400" count="22">
        <n v="46760643"/>
        <s v="en attente"/>
        <n v="46762570" u="1"/>
        <n v="46762333" u="1"/>
        <n v="46762339" u="1"/>
        <n v="46762337" u="1"/>
        <n v="0" u="1"/>
        <n v="46760640" u="1"/>
        <n v="46762376" u="1"/>
        <n v="46760642" u="1"/>
        <n v="46762363" u="1"/>
        <n v="46762380" u="1"/>
        <n v="46762335" u="1"/>
        <n v="46762369" u="1"/>
        <n v="46761850" u="1"/>
        <n v="46762510" u="1"/>
        <n v="46762512" u="1"/>
        <n v="46762610" u="1"/>
        <n v="46762332" u="1"/>
        <n v="467623400" u="1"/>
        <n v="46762620" u="1"/>
        <n v="46762560" u="1"/>
      </sharedItems>
    </cacheField>
    <cacheField name="Libellé de compte" numFmtId="0">
      <sharedItems containsMixedTypes="1" containsNumber="1" containsInteger="1" minValue="0" maxValue="0" count="3">
        <s v="FOURNITURES DIVERS INFORMATIQUE"/>
        <s v="en attente"/>
        <n v="0" u="1"/>
      </sharedItems>
    </cacheField>
    <cacheField name="Menu déroulant ville" numFmtId="0">
      <sharedItems/>
    </cacheField>
    <cacheField name="Colonne1" numFmtId="0">
      <sharedItems/>
    </cacheField>
    <cacheField name="Section Ana" numFmtId="0">
      <sharedItems count="22">
        <s v="0068 - IT PARIS"/>
        <e v="#N/A" u="1"/>
        <s v="0070 - IT STRASBOURG" u="1"/>
        <s v="0072 - IT NATIONAL" u="1"/>
        <s v="0006 - BORDEAUX " u="1"/>
        <s v="0002 - TOULOUSE" u="1"/>
        <s v="0001 - PARIS" u="1"/>
        <s v="0059 - IT LA REUNION" u="1"/>
        <s v="0004 - LYON" u="1"/>
        <s v="0024 - SAMSUNG CAMPUS PARIS" u="1"/>
        <s v="0058 - IT BORDEAUX" u="1"/>
        <s v="0062 - IT MARSEILLE" u="1"/>
        <s v="0060 - IT LILLE" u="1"/>
        <s v="0040 - COD/WAC/SMG NATIONAL" u="1"/>
        <s v="0003 - NATIONALE " u="1"/>
        <s v="0022 - LA REUNION" u="1"/>
        <s v="Ville non renseignée" u="1"/>
        <s v="Analytique inexistant" u="1"/>
        <s v="0005 - MARSEILLE" u="1"/>
        <s v="0073 - DIGITAL NATIONAL" u="1"/>
        <s v="0039 - WEB ACADEMY NAT" u="1"/>
        <s v="0019 - RELATION ENTREPRISES" u="1"/>
      </sharedItems>
    </cacheField>
    <cacheField name="Montant NDF" numFmtId="0">
      <sharedItems count="1">
        <s v="Montant NDF"/>
      </sharedItems>
    </cacheField>
    <cacheField name="Menu déroulant" numFmtId="0">
      <sharedItems/>
    </cacheField>
    <cacheField name="Colonne2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m/>
    <m/>
    <d v="2026-10-13T00:00:00"/>
    <s v="Autre"/>
    <s v="Achats Informatiques"/>
    <n v="5.99"/>
    <m/>
    <m/>
    <s v="Nom de domaine (OVH)"/>
    <n v="5.99"/>
    <x v="0"/>
    <x v="0"/>
    <s v=""/>
    <s v="EPITECH ITPARIS et RP"/>
    <x v="0"/>
    <x v="0"/>
    <s v="AUTRE"/>
    <s v=""/>
  </r>
  <r>
    <n v="2"/>
    <m/>
    <m/>
    <d v="2026-10-13T00:00:00"/>
    <s v="Autre"/>
    <s v="Achats Informatiques"/>
    <n v="28.19"/>
    <m/>
    <m/>
    <s v="VPS (VPS-4 2027 OVH)"/>
    <n v="28.19"/>
    <x v="0"/>
    <x v="0"/>
    <s v=""/>
    <s v="EPITECH ITPARIS et RP"/>
    <x v="0"/>
    <x v="0"/>
    <s v="AUTRE"/>
    <s v=""/>
  </r>
  <r>
    <n v="3"/>
    <m/>
    <m/>
    <d v="2026-10-13T00:00:00"/>
    <s v="Autre"/>
    <s v="Achats Informatiques"/>
    <n v="0"/>
    <m/>
    <m/>
    <s v="Object Storage (OVH)"/>
    <n v="0"/>
    <x v="0"/>
    <x v="0"/>
    <s v=""/>
    <s v="EPITECH ITPARIS et RP"/>
    <x v="0"/>
    <x v="0"/>
    <s v="AUTRE"/>
    <s v=""/>
  </r>
  <r>
    <n v="4"/>
    <m/>
    <m/>
    <m/>
    <m/>
    <m/>
    <m/>
    <m/>
    <m/>
    <m/>
    <n v="0"/>
    <x v="1"/>
    <x v="1"/>
    <s v=""/>
    <s v="EPITECH ITPARIS et RP"/>
    <x v="0"/>
    <x v="0"/>
    <e v="#N/A"/>
    <s v=""/>
  </r>
  <r>
    <n v="5"/>
    <m/>
    <m/>
    <m/>
    <m/>
    <m/>
    <m/>
    <m/>
    <m/>
    <m/>
    <n v="0"/>
    <x v="1"/>
    <x v="1"/>
    <s v=""/>
    <s v="EPITECH ITPARIS et RP"/>
    <x v="0"/>
    <x v="0"/>
    <e v="#N/A"/>
    <s v=""/>
  </r>
  <r>
    <n v="6"/>
    <m/>
    <m/>
    <m/>
    <m/>
    <m/>
    <m/>
    <m/>
    <m/>
    <m/>
    <n v="0"/>
    <x v="1"/>
    <x v="1"/>
    <s v=""/>
    <s v="EPITECH ITPARIS et RP"/>
    <x v="0"/>
    <x v="0"/>
    <e v="#N/A"/>
    <s v=""/>
  </r>
  <r>
    <n v="7"/>
    <m/>
    <m/>
    <m/>
    <m/>
    <m/>
    <m/>
    <m/>
    <m/>
    <m/>
    <n v="0"/>
    <x v="1"/>
    <x v="1"/>
    <s v=""/>
    <s v="EPITECH ITPARIS et RP"/>
    <x v="0"/>
    <x v="0"/>
    <e v="#N/A"/>
    <s v=""/>
  </r>
  <r>
    <n v="8"/>
    <m/>
    <m/>
    <m/>
    <m/>
    <m/>
    <m/>
    <m/>
    <m/>
    <m/>
    <n v="0"/>
    <x v="1"/>
    <x v="1"/>
    <s v=""/>
    <s v="EPITECH ITPARIS et RP"/>
    <x v="0"/>
    <x v="0"/>
    <e v="#N/A"/>
    <s v=""/>
  </r>
  <r>
    <n v="9"/>
    <m/>
    <m/>
    <m/>
    <m/>
    <m/>
    <m/>
    <m/>
    <m/>
    <m/>
    <n v="0"/>
    <x v="1"/>
    <x v="1"/>
    <s v=""/>
    <s v="EPITECH ITPARIS et RP"/>
    <x v="0"/>
    <x v="0"/>
    <e v="#N/A"/>
    <s v=""/>
  </r>
  <r>
    <n v="10"/>
    <m/>
    <m/>
    <m/>
    <m/>
    <m/>
    <m/>
    <m/>
    <m/>
    <m/>
    <n v="0"/>
    <x v="1"/>
    <x v="1"/>
    <s v=""/>
    <s v="EPITECH ITPARIS et RP"/>
    <x v="0"/>
    <x v="0"/>
    <e v="#N/A"/>
    <s v=""/>
  </r>
  <r>
    <n v="11"/>
    <m/>
    <m/>
    <m/>
    <m/>
    <m/>
    <m/>
    <m/>
    <m/>
    <m/>
    <n v="0"/>
    <x v="1"/>
    <x v="1"/>
    <s v=""/>
    <s v="EPITECH ITPARIS et RP"/>
    <x v="0"/>
    <x v="0"/>
    <e v="#N/A"/>
    <s v=""/>
  </r>
  <r>
    <n v="12"/>
    <m/>
    <m/>
    <m/>
    <m/>
    <m/>
    <m/>
    <m/>
    <m/>
    <m/>
    <n v="0"/>
    <x v="1"/>
    <x v="1"/>
    <s v=""/>
    <s v="EPITECH ITPARIS et RP"/>
    <x v="0"/>
    <x v="0"/>
    <e v="#N/A"/>
    <s v=""/>
  </r>
  <r>
    <n v="13"/>
    <m/>
    <m/>
    <m/>
    <m/>
    <m/>
    <m/>
    <m/>
    <m/>
    <m/>
    <n v="0"/>
    <x v="1"/>
    <x v="1"/>
    <s v=""/>
    <s v="EPITECH ITPARIS et RP"/>
    <x v="0"/>
    <x v="0"/>
    <e v="#N/A"/>
    <s v=""/>
  </r>
  <r>
    <n v="14"/>
    <m/>
    <m/>
    <m/>
    <m/>
    <m/>
    <m/>
    <m/>
    <m/>
    <m/>
    <n v="0"/>
    <x v="1"/>
    <x v="1"/>
    <s v=""/>
    <s v="EPITECH ITPARIS et RP"/>
    <x v="0"/>
    <x v="0"/>
    <e v="#N/A"/>
    <s v=""/>
  </r>
  <r>
    <n v="15"/>
    <m/>
    <m/>
    <m/>
    <m/>
    <m/>
    <m/>
    <m/>
    <m/>
    <m/>
    <n v="0"/>
    <x v="1"/>
    <x v="1"/>
    <s v=""/>
    <s v="EPITECH ITPARIS et RP"/>
    <x v="0"/>
    <x v="0"/>
    <e v="#N/A"/>
    <s v=""/>
  </r>
  <r>
    <n v="16"/>
    <m/>
    <m/>
    <m/>
    <m/>
    <m/>
    <m/>
    <m/>
    <m/>
    <m/>
    <n v="0"/>
    <x v="1"/>
    <x v="1"/>
    <s v=""/>
    <s v="EPITECH ITPARIS et RP"/>
    <x v="0"/>
    <x v="0"/>
    <e v="#N/A"/>
    <s v=""/>
  </r>
  <r>
    <n v="17"/>
    <m/>
    <m/>
    <m/>
    <m/>
    <m/>
    <m/>
    <m/>
    <m/>
    <m/>
    <n v="0"/>
    <x v="1"/>
    <x v="1"/>
    <s v=""/>
    <s v="EPITECH ITPARIS et RP"/>
    <x v="0"/>
    <x v="0"/>
    <e v="#N/A"/>
    <s v=""/>
  </r>
  <r>
    <n v="18"/>
    <m/>
    <m/>
    <m/>
    <m/>
    <m/>
    <m/>
    <m/>
    <m/>
    <m/>
    <n v="0"/>
    <x v="1"/>
    <x v="1"/>
    <s v=""/>
    <s v="EPITECH ITPARIS et RP"/>
    <x v="0"/>
    <x v="0"/>
    <e v="#N/A"/>
    <s v=""/>
  </r>
  <r>
    <n v="19"/>
    <m/>
    <m/>
    <m/>
    <m/>
    <m/>
    <m/>
    <m/>
    <m/>
    <m/>
    <n v="0"/>
    <x v="1"/>
    <x v="1"/>
    <s v=""/>
    <s v="EPITECH ITPARIS et RP"/>
    <x v="0"/>
    <x v="0"/>
    <e v="#N/A"/>
    <s v=""/>
  </r>
  <r>
    <n v="20"/>
    <m/>
    <m/>
    <m/>
    <m/>
    <m/>
    <m/>
    <m/>
    <m/>
    <m/>
    <n v="0"/>
    <x v="1"/>
    <x v="1"/>
    <s v=""/>
    <s v="EPITECH ITPARIS et RP"/>
    <x v="0"/>
    <x v="0"/>
    <e v="#N/A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106" applyNumberFormats="0" applyBorderFormats="0" applyFontFormats="0" applyPatternFormats="0" applyAlignmentFormats="0" applyWidthHeightFormats="1" dataCaption="Valeurs" updatedVersion="8" minRefreshableVersion="3" itemPrintTitles="1" createdVersion="6" indent="0" compact="0" compactData="0" multipleFieldFilters="0">
  <location ref="A2:E6" firstHeaderRow="1" firstDataRow="1" firstDataCol="4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22">
        <item m="1" x="10"/>
        <item m="1" x="8"/>
        <item m="1" x="13"/>
        <item x="0"/>
        <item m="1" x="15"/>
        <item m="1" x="7"/>
        <item m="1" x="9"/>
        <item m="1" x="20"/>
        <item m="1" x="17"/>
        <item m="1" x="11"/>
        <item m="1" x="16"/>
        <item m="1" x="14"/>
        <item m="1" x="12"/>
        <item m="1" x="6"/>
        <item m="1" x="18"/>
        <item m="1" x="19"/>
        <item x="1"/>
        <item m="1" x="21"/>
        <item m="1" x="4"/>
        <item m="1" x="2"/>
        <item m="1" x="5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axis="axisRow" compact="0" outline="0" showAll="0" sortType="descending" defaultSubtotal="0">
      <items count="22">
        <item m="1" x="16"/>
        <item m="1" x="14"/>
        <item m="1" x="5"/>
        <item m="1" x="18"/>
        <item m="1" x="4"/>
        <item m="1" x="6"/>
        <item m="1" x="17"/>
        <item m="1" x="8"/>
        <item m="1" x="21"/>
        <item m="1" x="19"/>
        <item m="1" x="3"/>
        <item m="1" x="10"/>
        <item m="1" x="7"/>
        <item m="1" x="12"/>
        <item m="1" x="11"/>
        <item m="1" x="20"/>
        <item m="1" x="13"/>
        <item m="1" x="9"/>
        <item m="1" x="15"/>
        <item m="1" x="1"/>
        <item m="1"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2">
        <item x="0"/>
        <item t="default"/>
      </items>
    </pivotField>
    <pivotField compact="0" outline="0" showAll="0" defaultSubtotal="0"/>
    <pivotField compact="0" outline="0" showAll="0"/>
  </pivotFields>
  <rowFields count="4">
    <field x="16"/>
    <field x="11"/>
    <field x="12"/>
    <field x="15"/>
  </rowFields>
  <rowItems count="4">
    <i>
      <x/>
    </i>
    <i r="1">
      <x v="3"/>
      <x v="2"/>
      <x v="21"/>
    </i>
    <i r="1">
      <x v="16"/>
      <x v="1"/>
      <x v="21"/>
    </i>
    <i t="grand">
      <x/>
    </i>
  </rowItems>
  <colItems count="1">
    <i/>
  </colItems>
  <dataFields count="1">
    <dataField name="NDF €" fld="10" baseField="0" baseItem="0" numFmtId="4"/>
  </dataFields>
  <formats count="42">
    <format dxfId="42">
      <pivotArea outline="0" collapsedLevelsAreSubtotals="1" fieldPosition="0"/>
    </format>
    <format dxfId="43">
      <pivotArea type="all" dataOnly="0" outline="0" fieldPosition="0"/>
    </format>
    <format dxfId="44">
      <pivotArea outline="0" collapsedLevelsAreSubtotals="1" fieldPosition="0"/>
    </format>
    <format dxfId="45">
      <pivotArea field="16" type="button" dataOnly="0" labelOnly="1" outline="0" axis="axisRow" fieldPosition="0"/>
    </format>
    <format dxfId="46">
      <pivotArea field="11" type="button" dataOnly="0" labelOnly="1" outline="0" axis="axisRow" fieldPosition="1"/>
    </format>
    <format dxfId="47">
      <pivotArea field="12" type="button" dataOnly="0" labelOnly="1" outline="0" axis="axisRow" fieldPosition="2"/>
    </format>
    <format dxfId="48">
      <pivotArea field="15" type="button" dataOnly="0" labelOnly="1" outline="0" axis="axisRow" fieldPosition="3"/>
    </format>
    <format dxfId="49">
      <pivotArea dataOnly="0" labelOnly="1" outline="0" fieldPosition="0">
        <references count="1">
          <reference field="16" count="0"/>
        </references>
      </pivotArea>
    </format>
    <format dxfId="50">
      <pivotArea dataOnly="0" labelOnly="1" grandRow="1" outline="0" fieldPosition="0"/>
    </format>
    <format dxfId="51">
      <pivotArea dataOnly="0" labelOnly="1" outline="0" fieldPosition="0">
        <references count="2">
          <reference field="11" count="0"/>
          <reference field="16" count="0" selected="0"/>
        </references>
      </pivotArea>
    </format>
    <format dxfId="52">
      <pivotArea dataOnly="0" labelOnly="1" outline="0" axis="axisValues" fieldPosition="0"/>
    </format>
    <format dxfId="53">
      <pivotArea type="all" dataOnly="0" outline="0" fieldPosition="0"/>
    </format>
    <format dxfId="54">
      <pivotArea outline="0" collapsedLevelsAreSubtotals="1" fieldPosition="0"/>
    </format>
    <format dxfId="55">
      <pivotArea field="16" type="button" dataOnly="0" labelOnly="1" outline="0" axis="axisRow" fieldPosition="0"/>
    </format>
    <format dxfId="56">
      <pivotArea field="11" type="button" dataOnly="0" labelOnly="1" outline="0" axis="axisRow" fieldPosition="1"/>
    </format>
    <format dxfId="57">
      <pivotArea field="12" type="button" dataOnly="0" labelOnly="1" outline="0" axis="axisRow" fieldPosition="2"/>
    </format>
    <format dxfId="58">
      <pivotArea field="15" type="button" dataOnly="0" labelOnly="1" outline="0" axis="axisRow" fieldPosition="3"/>
    </format>
    <format dxfId="59">
      <pivotArea dataOnly="0" labelOnly="1" outline="0" fieldPosition="0">
        <references count="1">
          <reference field="16" count="0"/>
        </references>
      </pivotArea>
    </format>
    <format dxfId="60">
      <pivotArea dataOnly="0" labelOnly="1" grandRow="1" outline="0" fieldPosition="0"/>
    </format>
    <format dxfId="61">
      <pivotArea dataOnly="0" labelOnly="1" outline="0" fieldPosition="0">
        <references count="2">
          <reference field="11" count="0"/>
          <reference field="16" count="0" selected="0"/>
        </references>
      </pivotArea>
    </format>
    <format dxfId="62">
      <pivotArea dataOnly="0" labelOnly="1" outline="0" fieldPosition="0">
        <references count="3">
          <reference field="11" count="1" selected="0">
            <x v="13"/>
          </reference>
          <reference field="12" count="1">
            <x v="0"/>
          </reference>
          <reference field="16" count="0" selected="0"/>
        </references>
      </pivotArea>
    </format>
    <format dxfId="63">
      <pivotArea dataOnly="0" labelOnly="1" outline="0" fieldPosition="0">
        <references count="4">
          <reference field="11" count="1" selected="0">
            <x v="13"/>
          </reference>
          <reference field="12" count="1" selected="0">
            <x v="0"/>
          </reference>
          <reference field="15" count="1">
            <x v="1"/>
          </reference>
          <reference field="16" count="0" selected="0"/>
        </references>
      </pivotArea>
    </format>
    <format dxfId="64">
      <pivotArea dataOnly="0" labelOnly="1" outline="0" axis="axisValues" fieldPosition="0"/>
    </format>
    <format dxfId="65">
      <pivotArea outline="0" collapsedLevelsAreSubtotals="1" fieldPosition="0"/>
    </format>
    <format dxfId="66">
      <pivotArea dataOnly="0" labelOnly="1" outline="0" fieldPosition="0">
        <references count="1">
          <reference field="16" count="0"/>
        </references>
      </pivotArea>
    </format>
    <format dxfId="67">
      <pivotArea dataOnly="0" labelOnly="1" grandRow="1" outline="0" fieldPosition="0"/>
    </format>
    <format dxfId="68">
      <pivotArea dataOnly="0" labelOnly="1" outline="0" fieldPosition="0">
        <references count="2">
          <reference field="11" count="0"/>
          <reference field="16" count="0" selected="0"/>
        </references>
      </pivotArea>
    </format>
    <format dxfId="69">
      <pivotArea dataOnly="0" labelOnly="1" outline="0" fieldPosition="0">
        <references count="3">
          <reference field="11" count="1" selected="0">
            <x v="13"/>
          </reference>
          <reference field="12" count="1">
            <x v="0"/>
          </reference>
          <reference field="16" count="0" selected="0"/>
        </references>
      </pivotArea>
    </format>
    <format dxfId="70">
      <pivotArea dataOnly="0" labelOnly="1" outline="0" fieldPosition="0">
        <references count="4">
          <reference field="11" count="1" selected="0">
            <x v="13"/>
          </reference>
          <reference field="12" count="1" selected="0">
            <x v="0"/>
          </reference>
          <reference field="15" count="1">
            <x v="1"/>
          </reference>
          <reference field="16" count="0" selected="0"/>
        </references>
      </pivotArea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field="16" type="button" dataOnly="0" labelOnly="1" outline="0" axis="axisRow" fieldPosition="0"/>
    </format>
    <format dxfId="74">
      <pivotArea field="11" type="button" dataOnly="0" labelOnly="1" outline="0" axis="axisRow" fieldPosition="1"/>
    </format>
    <format dxfId="75">
      <pivotArea field="12" type="button" dataOnly="0" labelOnly="1" outline="0" axis="axisRow" fieldPosition="2"/>
    </format>
    <format dxfId="76">
      <pivotArea field="15" type="button" dataOnly="0" labelOnly="1" outline="0" axis="axisRow" fieldPosition="3"/>
    </format>
    <format dxfId="77">
      <pivotArea dataOnly="0" labelOnly="1" outline="0" axis="axisValues" fieldPosition="0"/>
    </format>
    <format dxfId="78">
      <pivotArea dataOnly="0" labelOnly="1" outline="0" fieldPosition="0">
        <references count="1">
          <reference field="16" count="0"/>
        </references>
      </pivotArea>
    </format>
    <format dxfId="79">
      <pivotArea dataOnly="0" labelOnly="1" grandRow="1" outline="0" fieldPosition="0"/>
    </format>
    <format dxfId="80">
      <pivotArea dataOnly="0" labelOnly="1" outline="0" fieldPosition="0">
        <references count="2">
          <reference field="11" count="0"/>
          <reference field="16" count="0" selected="0"/>
        </references>
      </pivotArea>
    </format>
    <format dxfId="81">
      <pivotArea dataOnly="0" labelOnly="1" outline="0" fieldPosition="0">
        <references count="3">
          <reference field="11" count="1" selected="0">
            <x v="13"/>
          </reference>
          <reference field="12" count="1">
            <x v="0"/>
          </reference>
          <reference field="16" count="0" selected="0"/>
        </references>
      </pivotArea>
    </format>
    <format dxfId="82">
      <pivotArea dataOnly="0" labelOnly="1" outline="0" fieldPosition="0">
        <references count="4">
          <reference field="11" count="1" selected="0">
            <x v="13"/>
          </reference>
          <reference field="12" count="1" selected="0">
            <x v="0"/>
          </reference>
          <reference field="15" count="1">
            <x v="1"/>
          </reference>
          <reference field="16" count="0" selected="0"/>
        </references>
      </pivotArea>
    </format>
    <format dxfId="8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NDF" displayName="NDF" ref="A16:S36" totalsRowShown="0" headerRowDxfId="37">
  <autoFilter ref="A16:S36" xr:uid="{00000000-0009-0000-0100-000002000000}"/>
  <tableColumns count="19">
    <tableColumn id="1" xr3:uid="{00000000-0010-0000-0000-000001000000}" name="N° du ticket" dataDxfId="35" totalsRowDxfId="36"/>
    <tableColumn id="16" xr3:uid="{07A37EF9-4B33-40CE-A955-3B7BFD37C17A}" name="Ecole/Prog/Dépt" dataDxfId="33" totalsRowDxfId="34"/>
    <tableColumn id="11" xr3:uid="{00000000-0010-0000-0000-00000B000000}" name="Ville" dataDxfId="31" totalsRowDxfId="32"/>
    <tableColumn id="2" xr3:uid="{00000000-0010-0000-0000-000002000000}" name="Date_x000a_JJ/MM/AAAA" dataDxfId="29" totalsRowDxfId="30"/>
    <tableColumn id="3" xr3:uid="{00000000-0010-0000-0000-000003000000}" name="Evénement" dataDxfId="27" totalsRowDxfId="28"/>
    <tableColumn id="4" xr3:uid="{00000000-0010-0000-0000-000004000000}" name="Type de dépense" dataDxfId="25" totalsRowDxfId="26"/>
    <tableColumn id="5" xr3:uid="{00000000-0010-0000-0000-000005000000}" name="Total" dataDxfId="23" totalsRowDxfId="24">
      <calculatedColumnFormula>2*83</calculatedColumnFormula>
    </tableColumn>
    <tableColumn id="6" xr3:uid="{00000000-0010-0000-0000-000006000000}" name="Déjeuner/Dîner" dataDxfId="21" totalsRowDxfId="22"/>
    <tableColumn id="7" xr3:uid="{00000000-0010-0000-0000-000007000000}" name="Nb de pers" dataDxfId="19" totalsRowDxfId="20"/>
    <tableColumn id="8" xr3:uid="{00000000-0010-0000-0000-000008000000}" name="Commentaire" dataDxfId="17" totalsRowDxfId="18"/>
    <tableColumn id="9" xr3:uid="{00000000-0010-0000-0000-000009000000}" name="Remboursement Calculé" dataDxfId="15" totalsRowDxfId="16">
      <calculatedColumnFormula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calculatedColumnFormula>
    </tableColumn>
    <tableColumn id="15" xr3:uid="{00000000-0010-0000-0000-00000F000000}" name="Numéro de compte" dataDxfId="13" totalsRowDxfId="14"/>
    <tableColumn id="10" xr3:uid="{00000000-0010-0000-0000-00000A000000}" name="Libellé de compte" dataDxfId="11" totalsRowDxfId="12">
      <calculatedColumnFormula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calculatedColumnFormula>
    </tableColumn>
    <tableColumn id="19" xr3:uid="{2156D5B0-F455-477C-B583-3A9A7CC5F6B4}" name="Menu déroulant ville" dataDxfId="9" totalsRowDxfId="10">
      <calculatedColumnFormula>IF(B17="","",VLOOKUP(B17,Paramétrage!$E$2:$F$12,2,FALSE))</calculatedColumnFormula>
    </tableColumn>
    <tableColumn id="18" xr3:uid="{0CA78705-EE58-43D6-AB54-EAA20E94FD5C}" name="Colonne1" dataDxfId="7" totalsRowDxfId="8">
      <calculatedColumnFormula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calculatedColumnFormula>
    </tableColumn>
    <tableColumn id="12" xr3:uid="{00000000-0010-0000-0000-00000C000000}" name="Section Ana" dataDxfId="6">
      <calculatedColumnFormula>VLOOKUP(NDF[[#This Row],[Colonne1]],Paramétrage!$L$73:$M$223,2,FALSE)</calculatedColumnFormula>
    </tableColumn>
    <tableColumn id="17" xr3:uid="{00000000-0010-0000-0000-000011000000}" name="Montant NDF" dataDxfId="5"/>
    <tableColumn id="14" xr3:uid="{00000000-0010-0000-0000-00000E000000}" name="Menu déroulant" dataDxfId="4">
      <calculatedColumnFormula>HLOOKUP(NDF[[#This Row],[Evénement]],Paramétrage!$L$1:$P$2,2,0)</calculatedColumnFormula>
    </tableColumn>
    <tableColumn id="13" xr3:uid="{00000000-0010-0000-0000-00000D000000}" name="Colonne2" dataDxfId="3">
      <calculatedColumnFormula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Mapping_Comptable" displayName="Mapping_Comptable" ref="A22:E56" totalsRowShown="0">
  <autoFilter ref="A22:E56" xr:uid="{00000000-0009-0000-0100-000001000000}"/>
  <tableColumns count="5">
    <tableColumn id="1" xr3:uid="{00000000-0010-0000-0100-000001000000}" name="Evènement"/>
    <tableColumn id="2" xr3:uid="{00000000-0010-0000-0100-000002000000}" name="Type de Dépense"/>
    <tableColumn id="3" xr3:uid="{00000000-0010-0000-0100-000003000000}" name="Compte Comptable" dataDxfId="2"/>
    <tableColumn id="4" xr3:uid="{00000000-0010-0000-0100-000004000000}" name="Libellé comptable" dataDxfId="1"/>
    <tableColumn id="5" xr3:uid="{00000000-0010-0000-0100-000005000000}" name="Column1" dataDxfId="0">
      <calculatedColumnFormula>CONCATENATE(Mapping_Comptable[[#This Row],[Evènement]],"/",Mapping_Comptable[[#This Row],[Type de Dépense]])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6" dT="2020-06-05T12:41:24.26" personId="{7862FE6D-4297-45CE-988A-E81229DE7D26}" id="{40B0370B-0FE3-406A-822A-80226ED69A06}">
    <text>A rempli si la NDF concerne plusieurs villes ou dépt spécifiques. Si elle ne concerne qu'une ville ou dépt spécifique ne remplir seulement que la ville d'en-tête.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topLeftCell="A14" workbookViewId="0">
      <selection activeCell="A24" sqref="A24"/>
    </sheetView>
  </sheetViews>
  <sheetFormatPr defaultColWidth="9" defaultRowHeight="14.45"/>
  <sheetData>
    <row r="1" spans="1:1">
      <c r="A1" s="39" t="s">
        <v>0</v>
      </c>
    </row>
  </sheetData>
  <pageMargins left="0.70866141732283472" right="0.70866141732283472" top="0.74803149606299213" bottom="0.74803149606299213" header="0.31496062992125984" footer="0.31496062992125984"/>
  <pageSetup paperSize="21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U48"/>
  <sheetViews>
    <sheetView showGridLines="0" tabSelected="1" topLeftCell="A14" zoomScale="80" zoomScaleNormal="80" workbookViewId="0">
      <selection activeCell="D39" sqref="D39"/>
    </sheetView>
  </sheetViews>
  <sheetFormatPr defaultColWidth="9" defaultRowHeight="14.45"/>
  <cols>
    <col min="1" max="1" width="16.5" customWidth="1"/>
    <col min="2" max="2" width="19.25" customWidth="1"/>
    <col min="3" max="3" width="10.875" customWidth="1"/>
    <col min="4" max="4" width="12.375" customWidth="1"/>
    <col min="5" max="5" width="30.25" customWidth="1"/>
    <col min="6" max="6" width="38.25" bestFit="1" customWidth="1"/>
    <col min="7" max="7" width="8.75" customWidth="1"/>
    <col min="8" max="8" width="9.375" customWidth="1"/>
    <col min="9" max="9" width="10.5" style="1" customWidth="1"/>
    <col min="10" max="10" width="52.375" customWidth="1"/>
    <col min="11" max="11" width="18.125" customWidth="1"/>
    <col min="12" max="12" width="22.25" hidden="1" customWidth="1"/>
    <col min="13" max="13" width="16.625" hidden="1" customWidth="1"/>
    <col min="14" max="14" width="12.25" hidden="1" customWidth="1"/>
    <col min="15" max="15" width="18" hidden="1" customWidth="1"/>
    <col min="16" max="16" width="54.25" hidden="1" customWidth="1"/>
    <col min="17" max="17" width="29.625" hidden="1" customWidth="1"/>
    <col min="18" max="18" width="0" hidden="1" customWidth="1"/>
  </cols>
  <sheetData>
    <row r="1" spans="1:21">
      <c r="A1" s="9" t="s">
        <v>1</v>
      </c>
      <c r="B1" s="9"/>
      <c r="C1" s="9"/>
      <c r="E1" s="9"/>
      <c r="F1" s="9"/>
      <c r="G1" s="9"/>
      <c r="J1" s="52"/>
      <c r="K1" s="9"/>
      <c r="L1" s="9"/>
      <c r="M1" s="9"/>
    </row>
    <row r="2" spans="1:21" ht="3.75" customHeight="1">
      <c r="A2" s="9"/>
      <c r="B2" s="9"/>
      <c r="C2" s="9"/>
      <c r="D2" s="9"/>
      <c r="E2" s="9"/>
      <c r="F2" s="9"/>
      <c r="G2" s="9"/>
      <c r="K2" s="9"/>
      <c r="L2" s="9"/>
      <c r="M2" s="9"/>
    </row>
    <row r="3" spans="1:21">
      <c r="A3" s="12" t="s">
        <v>2</v>
      </c>
      <c r="B3" s="46" t="s">
        <v>3</v>
      </c>
      <c r="C3" s="9"/>
      <c r="D3" s="9"/>
      <c r="E3" s="9"/>
      <c r="F3" s="9"/>
      <c r="G3" s="9"/>
      <c r="H3" s="10" t="s">
        <v>4</v>
      </c>
      <c r="I3" s="11">
        <f>MIN(NDF[Date
JJ/MM/AAAA])</f>
        <v>46308</v>
      </c>
      <c r="K3" s="9"/>
      <c r="L3" s="9"/>
      <c r="M3" s="9"/>
    </row>
    <row r="4" spans="1:21">
      <c r="A4" s="12" t="s">
        <v>5</v>
      </c>
      <c r="B4" s="46" t="s">
        <v>6</v>
      </c>
      <c r="C4" s="9"/>
      <c r="D4" s="9"/>
      <c r="E4" s="9"/>
      <c r="F4" s="9"/>
      <c r="G4" s="9"/>
      <c r="H4" s="10" t="s">
        <v>7</v>
      </c>
      <c r="I4" s="11">
        <f>MAX(NDF[Date
JJ/MM/AAAA])</f>
        <v>46308</v>
      </c>
      <c r="K4" s="9"/>
      <c r="L4" s="9"/>
      <c r="M4" s="9"/>
    </row>
    <row r="5" spans="1:21">
      <c r="A5" s="12" t="s">
        <v>8</v>
      </c>
      <c r="B5" s="46" t="s">
        <v>9</v>
      </c>
      <c r="C5" s="9"/>
      <c r="D5" s="9"/>
      <c r="E5" s="9"/>
      <c r="F5" s="9"/>
      <c r="G5" s="9"/>
      <c r="K5" s="9"/>
      <c r="L5" s="9"/>
      <c r="M5" s="9"/>
    </row>
    <row r="6" spans="1:21">
      <c r="A6" s="12" t="s">
        <v>10</v>
      </c>
      <c r="B6" s="46" t="s">
        <v>11</v>
      </c>
      <c r="C6" s="9"/>
      <c r="D6" s="87" t="str">
        <f>IF(B6="","",VLOOKUP(B6,Paramétrage!$E$2:$F$12,2,FALSE))</f>
        <v>IT</v>
      </c>
      <c r="E6" s="9"/>
      <c r="F6" s="9"/>
      <c r="G6" s="9"/>
      <c r="K6" s="9"/>
      <c r="L6" s="9"/>
      <c r="M6" s="9"/>
    </row>
    <row r="7" spans="1:21">
      <c r="A7" s="12" t="s">
        <v>12</v>
      </c>
      <c r="B7" s="46" t="s">
        <v>13</v>
      </c>
      <c r="C7" s="9"/>
      <c r="D7" s="9"/>
      <c r="E7" s="9"/>
      <c r="F7" s="9"/>
      <c r="G7" s="9"/>
      <c r="H7" s="10" t="s">
        <v>14</v>
      </c>
      <c r="I7" s="45" t="s">
        <v>15</v>
      </c>
      <c r="K7" s="9"/>
      <c r="L7" s="9"/>
      <c r="M7" s="9"/>
    </row>
    <row r="8" spans="1:21" ht="5.25" customHeight="1">
      <c r="A8" s="12"/>
      <c r="B8" s="46"/>
      <c r="C8" s="9"/>
      <c r="D8" s="9"/>
      <c r="E8" s="9"/>
      <c r="F8" s="9"/>
      <c r="G8" s="9"/>
      <c r="H8" s="10"/>
      <c r="I8" s="61"/>
      <c r="K8" s="9"/>
      <c r="L8" s="9"/>
      <c r="M8" s="9"/>
    </row>
    <row r="9" spans="1:21" ht="28.5" customHeight="1">
      <c r="A9" s="12"/>
      <c r="B9" s="9"/>
      <c r="C9" s="16" t="s">
        <v>16</v>
      </c>
      <c r="D9" s="94" t="s">
        <v>17</v>
      </c>
      <c r="E9" s="94"/>
      <c r="F9" s="94"/>
      <c r="G9" s="95"/>
      <c r="H9" s="9"/>
      <c r="I9" s="13"/>
      <c r="K9" s="9"/>
      <c r="L9" s="9"/>
      <c r="M9" s="9"/>
    </row>
    <row r="10" spans="1:21" ht="9" customHeight="1">
      <c r="A10" s="9"/>
      <c r="B10" s="9"/>
      <c r="C10" s="9"/>
      <c r="D10" s="9"/>
      <c r="E10" s="9"/>
      <c r="F10" s="9"/>
      <c r="G10" s="9"/>
      <c r="H10" s="9"/>
      <c r="I10" s="13"/>
      <c r="K10" s="9"/>
      <c r="L10" s="9"/>
      <c r="M10" s="9"/>
    </row>
    <row r="11" spans="1:21">
      <c r="A11" s="9"/>
      <c r="B11" s="9"/>
      <c r="C11" s="9"/>
      <c r="D11" s="9"/>
      <c r="E11" s="9"/>
      <c r="F11" s="9"/>
      <c r="G11" s="9"/>
      <c r="H11" s="10" t="s">
        <v>18</v>
      </c>
      <c r="I11" s="45"/>
      <c r="K11" s="9"/>
      <c r="L11" s="9"/>
      <c r="M11" s="9"/>
    </row>
    <row r="12" spans="1:21" ht="9" customHeight="1">
      <c r="A12" s="9"/>
      <c r="B12" s="9"/>
      <c r="C12" s="9"/>
      <c r="D12" s="9"/>
      <c r="E12" s="9"/>
      <c r="F12" s="9"/>
      <c r="G12" s="9"/>
      <c r="H12" s="9"/>
      <c r="I12" s="13"/>
      <c r="K12" s="9"/>
      <c r="L12" s="9"/>
      <c r="M12" s="9"/>
    </row>
    <row r="13" spans="1:21" ht="15" thickBot="1">
      <c r="A13" s="9"/>
      <c r="B13" s="9"/>
      <c r="C13" s="9"/>
      <c r="D13" s="9"/>
      <c r="E13" s="9"/>
      <c r="F13" s="9"/>
      <c r="G13" s="9"/>
      <c r="H13" s="12" t="str">
        <f>CONCATENATE("Selon le ",Paramétrage!A2," votre cofficient de remboursement sera de :")</f>
        <v>Selon le Barème Fiscal automobile 2020 votre cofficient de remboursement sera de :</v>
      </c>
      <c r="I13" s="14">
        <f>IF(ISNA(INDEX(Paramétrage!C5:C9,MATCH('NDF A IMPRIMER Détail'!I11,Paramétrage!D5:D9,0),0)),Paramétrage!$C$10,INDEX(Paramétrage!C5:C9,MATCH('NDF A IMPRIMER Détail'!I11,Paramétrage!D5:D9,0),0))</f>
        <v>0.60099999999999998</v>
      </c>
      <c r="K13" s="9"/>
      <c r="L13" s="9"/>
      <c r="M13" s="9"/>
    </row>
    <row r="14" spans="1:21" ht="15" thickBot="1">
      <c r="A14" s="9"/>
      <c r="B14" s="9"/>
      <c r="C14" s="9"/>
      <c r="D14" s="9"/>
      <c r="E14" s="9"/>
      <c r="F14" s="9"/>
      <c r="G14" s="9"/>
      <c r="H14" s="9"/>
      <c r="I14" s="13"/>
      <c r="K14" s="59" t="s">
        <v>19</v>
      </c>
      <c r="L14" s="9"/>
      <c r="M14" s="9"/>
    </row>
    <row r="15" spans="1:21" ht="36.75" customHeight="1" thickBot="1">
      <c r="A15" s="9"/>
      <c r="B15" s="9"/>
      <c r="E15" s="98" t="s">
        <v>20</v>
      </c>
      <c r="F15" s="99"/>
      <c r="H15" s="96" t="s">
        <v>21</v>
      </c>
      <c r="I15" s="97"/>
      <c r="K15" s="60">
        <f>SUBTOTAL(9,NDF[Remboursement Calculé])</f>
        <v>34.18</v>
      </c>
      <c r="L15" s="49"/>
      <c r="M15" s="49"/>
      <c r="N15" s="49"/>
    </row>
    <row r="16" spans="1:21" s="4" customFormat="1" ht="30" customHeight="1">
      <c r="A16" s="4" t="s">
        <v>22</v>
      </c>
      <c r="B16" s="4" t="s">
        <v>23</v>
      </c>
      <c r="C16" s="4" t="s">
        <v>24</v>
      </c>
      <c r="D16" s="4" t="s">
        <v>25</v>
      </c>
      <c r="E16" s="18" t="s">
        <v>26</v>
      </c>
      <c r="F16" s="19" t="s">
        <v>27</v>
      </c>
      <c r="G16" s="4" t="s">
        <v>28</v>
      </c>
      <c r="H16" s="6" t="s">
        <v>29</v>
      </c>
      <c r="I16" s="7" t="s">
        <v>30</v>
      </c>
      <c r="J16" s="4" t="s">
        <v>31</v>
      </c>
      <c r="K16" s="5" t="s">
        <v>32</v>
      </c>
      <c r="L16" s="8" t="s">
        <v>33</v>
      </c>
      <c r="M16" s="8" t="s">
        <v>34</v>
      </c>
      <c r="N16" s="8" t="s">
        <v>35</v>
      </c>
      <c r="O16" s="8" t="s">
        <v>36</v>
      </c>
      <c r="P16" s="8" t="s">
        <v>37</v>
      </c>
      <c r="Q16" s="8" t="s">
        <v>38</v>
      </c>
      <c r="R16" s="8" t="s">
        <v>39</v>
      </c>
      <c r="S16" s="15" t="s">
        <v>40</v>
      </c>
      <c r="T16" s="15"/>
      <c r="U16" s="15"/>
    </row>
    <row r="17" spans="1:21" ht="15">
      <c r="A17" s="75">
        <v>1</v>
      </c>
      <c r="B17" s="75"/>
      <c r="C17" s="75"/>
      <c r="D17" s="40">
        <v>46308</v>
      </c>
      <c r="E17" s="41" t="s">
        <v>41</v>
      </c>
      <c r="F17" s="42" t="s">
        <v>42</v>
      </c>
      <c r="G17" s="58">
        <v>5.99</v>
      </c>
      <c r="H17" s="43"/>
      <c r="I17" s="44"/>
      <c r="J17" s="82" t="s">
        <v>43</v>
      </c>
      <c r="K17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5.99</v>
      </c>
      <c r="L17" s="57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pers]]="")),"PB REPAS",INDEX(Mapping_Comptable[Compte Comptable],MATCH(CONCATENATE(NDF[[#This Row],[Evénement]],"/",NDF[[#This Row],[Type de dépense]]),Mapping_Comptable[Column1],0),0))))</f>
        <v>46760643</v>
      </c>
      <c r="M17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FOURNITURES DIVERS INFORMATIQUE</v>
      </c>
      <c r="N17" s="3" t="str">
        <f>IF(B17="","",VLOOKUP(B17,Paramétrage!$E$2:$F$12,2,FALSE))</f>
        <v/>
      </c>
      <c r="O17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17" s="3" t="str">
        <f>VLOOKUP(NDF[[#This Row],[Colonne1]],Paramétrage!$L$73:$M$223,2,FALSE)</f>
        <v>0068 - IT PARIS</v>
      </c>
      <c r="Q17" s="3" t="s">
        <v>38</v>
      </c>
      <c r="R17" s="3" t="str">
        <f>HLOOKUP(NDF[[#This Row],[Evénement]],Paramétrage!$L$1:$P$2,2,0)</f>
        <v>AUTRE</v>
      </c>
      <c r="S17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17" s="9"/>
      <c r="U17" s="9"/>
    </row>
    <row r="18" spans="1:21" ht="15">
      <c r="A18" s="75">
        <v>2</v>
      </c>
      <c r="B18" s="75"/>
      <c r="C18" s="75"/>
      <c r="D18" s="40">
        <v>46308</v>
      </c>
      <c r="E18" s="41" t="s">
        <v>41</v>
      </c>
      <c r="F18" s="42" t="s">
        <v>42</v>
      </c>
      <c r="G18" s="58">
        <v>28.19</v>
      </c>
      <c r="H18" s="43"/>
      <c r="I18" s="44"/>
      <c r="J18" s="82" t="s">
        <v>44</v>
      </c>
      <c r="K18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28.19</v>
      </c>
      <c r="L18" s="57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46760643</v>
      </c>
      <c r="M18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FOURNITURES DIVERS INFORMATIQUE</v>
      </c>
      <c r="N18" s="3" t="str">
        <f>IF(B18="","",VLOOKUP(B18,Paramétrage!$E$2:$F$12,2,FALSE))</f>
        <v/>
      </c>
      <c r="O18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18" s="3" t="str">
        <f>VLOOKUP(NDF[[#This Row],[Colonne1]],Paramétrage!$L$73:$M$223,2,FALSE)</f>
        <v>0068 - IT PARIS</v>
      </c>
      <c r="Q18" s="3" t="s">
        <v>38</v>
      </c>
      <c r="R18" s="3" t="str">
        <f>HLOOKUP(NDF[[#This Row],[Evénement]],Paramétrage!$L$1:$P$2,2,0)</f>
        <v>AUTRE</v>
      </c>
      <c r="S18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18" s="9"/>
      <c r="U18" s="9"/>
    </row>
    <row r="19" spans="1:21" ht="15">
      <c r="A19" s="75">
        <v>3</v>
      </c>
      <c r="B19" s="75"/>
      <c r="C19" s="75"/>
      <c r="D19" s="40"/>
      <c r="E19" s="41"/>
      <c r="F19" s="42"/>
      <c r="G19" s="58"/>
      <c r="H19" s="43"/>
      <c r="I19" s="44"/>
      <c r="J19" s="82"/>
      <c r="K19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19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19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19" s="3" t="str">
        <f>IF(B19="","",VLOOKUP(B19,Paramétrage!$E$2:$F$12,2,FALSE))</f>
        <v/>
      </c>
      <c r="O19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19" s="3" t="str">
        <f>VLOOKUP(NDF[[#This Row],[Colonne1]],Paramétrage!$L$73:$M$223,2,FALSE)</f>
        <v>0068 - IT PARIS</v>
      </c>
      <c r="Q19" s="3" t="s">
        <v>38</v>
      </c>
      <c r="R19" s="3" t="e">
        <f>HLOOKUP(NDF[[#This Row],[Evénement]],Paramétrage!$L$1:$P$2,2,0)</f>
        <v>#N/A</v>
      </c>
      <c r="S19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19" s="9"/>
      <c r="U19" s="9"/>
    </row>
    <row r="20" spans="1:21">
      <c r="A20" s="75">
        <v>4</v>
      </c>
      <c r="B20" s="75"/>
      <c r="C20" s="75"/>
      <c r="D20" s="40"/>
      <c r="E20" s="41"/>
      <c r="F20" s="42"/>
      <c r="G20" s="58"/>
      <c r="H20" s="43"/>
      <c r="I20" s="44"/>
      <c r="J20" s="82"/>
      <c r="K20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0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0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0" s="3" t="str">
        <f>IF(B20="","",VLOOKUP(B20,Paramétrage!$E$2:$F$12,2,FALSE))</f>
        <v/>
      </c>
      <c r="O20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0" s="3" t="str">
        <f>VLOOKUP(NDF[[#This Row],[Colonne1]],Paramétrage!$L$73:$M$223,2,FALSE)</f>
        <v>0068 - IT PARIS</v>
      </c>
      <c r="Q20" s="3" t="s">
        <v>38</v>
      </c>
      <c r="R20" s="3" t="e">
        <f>HLOOKUP(NDF[[#This Row],[Evénement]],Paramétrage!$L$1:$P$2,2,0)</f>
        <v>#N/A</v>
      </c>
      <c r="S20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0" s="9"/>
      <c r="U20" s="9"/>
    </row>
    <row r="21" spans="1:21">
      <c r="A21" s="75">
        <v>5</v>
      </c>
      <c r="B21" s="75"/>
      <c r="C21" s="75"/>
      <c r="D21" s="40"/>
      <c r="E21" s="41"/>
      <c r="F21" s="42"/>
      <c r="G21" s="58"/>
      <c r="H21" s="43"/>
      <c r="I21" s="44"/>
      <c r="J21" s="82"/>
      <c r="K21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1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1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1" s="3" t="str">
        <f>IF(B21="","",VLOOKUP(B21,Paramétrage!$E$2:$F$12,2,FALSE))</f>
        <v/>
      </c>
      <c r="O21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1" s="3" t="str">
        <f>VLOOKUP(NDF[[#This Row],[Colonne1]],Paramétrage!$L$73:$M$223,2,FALSE)</f>
        <v>0068 - IT PARIS</v>
      </c>
      <c r="Q21" s="3" t="s">
        <v>38</v>
      </c>
      <c r="R21" s="3" t="e">
        <f>HLOOKUP(NDF[[#This Row],[Evénement]],Paramétrage!$L$1:$P$2,2,0)</f>
        <v>#N/A</v>
      </c>
      <c r="S21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1" s="9"/>
      <c r="U21" s="9"/>
    </row>
    <row r="22" spans="1:21">
      <c r="A22" s="75">
        <v>6</v>
      </c>
      <c r="B22" s="75"/>
      <c r="C22" s="75"/>
      <c r="D22" s="40"/>
      <c r="E22" s="41"/>
      <c r="F22" s="42"/>
      <c r="G22" s="58"/>
      <c r="H22" s="43"/>
      <c r="I22" s="44"/>
      <c r="J22" s="82"/>
      <c r="K22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2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2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2" s="3" t="str">
        <f>IF(B22="","",VLOOKUP(B22,Paramétrage!$E$2:$F$12,2,FALSE))</f>
        <v/>
      </c>
      <c r="O22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2" s="3" t="str">
        <f>VLOOKUP(NDF[[#This Row],[Colonne1]],Paramétrage!$L$73:$M$223,2,FALSE)</f>
        <v>0068 - IT PARIS</v>
      </c>
      <c r="Q22" s="3" t="s">
        <v>38</v>
      </c>
      <c r="R22" s="3" t="e">
        <f>HLOOKUP(NDF[[#This Row],[Evénement]],Paramétrage!$L$1:$P$2,2,0)</f>
        <v>#N/A</v>
      </c>
      <c r="S22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2" s="9"/>
      <c r="U22" s="9"/>
    </row>
    <row r="23" spans="1:21">
      <c r="A23" s="75">
        <v>7</v>
      </c>
      <c r="B23" s="75"/>
      <c r="C23" s="75"/>
      <c r="D23" s="40"/>
      <c r="E23" s="41"/>
      <c r="F23" s="42"/>
      <c r="G23" s="58"/>
      <c r="H23" s="43"/>
      <c r="I23" s="44"/>
      <c r="J23" s="82"/>
      <c r="K23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3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3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3" s="3" t="str">
        <f>IF(B23="","",VLOOKUP(B23,Paramétrage!$E$2:$F$12,2,FALSE))</f>
        <v/>
      </c>
      <c r="O23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3" s="3" t="str">
        <f>VLOOKUP(NDF[[#This Row],[Colonne1]],Paramétrage!$L$73:$M$223,2,FALSE)</f>
        <v>0068 - IT PARIS</v>
      </c>
      <c r="Q23" s="3" t="s">
        <v>38</v>
      </c>
      <c r="R23" s="3" t="e">
        <f>HLOOKUP(NDF[[#This Row],[Evénement]],Paramétrage!$L$1:$P$2,2,0)</f>
        <v>#N/A</v>
      </c>
      <c r="S23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3" s="9"/>
      <c r="U23" s="9"/>
    </row>
    <row r="24" spans="1:21">
      <c r="A24" s="75">
        <v>8</v>
      </c>
      <c r="B24" s="75"/>
      <c r="C24" s="75"/>
      <c r="D24" s="40"/>
      <c r="E24" s="41"/>
      <c r="F24" s="42"/>
      <c r="G24" s="58"/>
      <c r="H24" s="43"/>
      <c r="I24" s="44"/>
      <c r="J24" s="82"/>
      <c r="K24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4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4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4" s="3" t="str">
        <f>IF(B24="","",VLOOKUP(B24,Paramétrage!$E$2:$F$12,2,FALSE))</f>
        <v/>
      </c>
      <c r="O24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4" s="3" t="str">
        <f>VLOOKUP(NDF[[#This Row],[Colonne1]],Paramétrage!$L$73:$M$223,2,FALSE)</f>
        <v>0068 - IT PARIS</v>
      </c>
      <c r="Q24" s="3" t="s">
        <v>38</v>
      </c>
      <c r="R24" s="3" t="e">
        <f>HLOOKUP(NDF[[#This Row],[Evénement]],Paramétrage!$L$1:$P$2,2,0)</f>
        <v>#N/A</v>
      </c>
      <c r="S24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4" s="9"/>
      <c r="U24" s="9"/>
    </row>
    <row r="25" spans="1:21">
      <c r="A25" s="75">
        <v>9</v>
      </c>
      <c r="B25" s="75"/>
      <c r="C25" s="75"/>
      <c r="D25" s="40"/>
      <c r="E25" s="41"/>
      <c r="F25" s="42"/>
      <c r="G25" s="58"/>
      <c r="H25" s="43"/>
      <c r="I25" s="44"/>
      <c r="J25" s="82"/>
      <c r="K25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5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5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5" s="3" t="str">
        <f>IF(B25="","",VLOOKUP(B25,Paramétrage!$E$2:$F$12,2,FALSE))</f>
        <v/>
      </c>
      <c r="O25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5" s="3" t="str">
        <f>VLOOKUP(NDF[[#This Row],[Colonne1]],Paramétrage!$L$73:$M$223,2,FALSE)</f>
        <v>0068 - IT PARIS</v>
      </c>
      <c r="Q25" s="3" t="s">
        <v>38</v>
      </c>
      <c r="R25" s="3" t="e">
        <f>HLOOKUP(NDF[[#This Row],[Evénement]],Paramétrage!$L$1:$P$2,2,0)</f>
        <v>#N/A</v>
      </c>
      <c r="S25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5" s="9"/>
      <c r="U25" s="9"/>
    </row>
    <row r="26" spans="1:21">
      <c r="A26" s="75">
        <v>10</v>
      </c>
      <c r="B26" s="75"/>
      <c r="C26" s="75"/>
      <c r="D26" s="40"/>
      <c r="E26" s="41"/>
      <c r="F26" s="42"/>
      <c r="G26" s="58"/>
      <c r="H26" s="43"/>
      <c r="I26" s="44"/>
      <c r="J26" s="82"/>
      <c r="K26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6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6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6" s="3" t="str">
        <f>IF(B26="","",VLOOKUP(B26,Paramétrage!$E$2:$F$12,2,FALSE))</f>
        <v/>
      </c>
      <c r="O26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6" s="3" t="str">
        <f>VLOOKUP(NDF[[#This Row],[Colonne1]],Paramétrage!$L$73:$M$223,2,FALSE)</f>
        <v>0068 - IT PARIS</v>
      </c>
      <c r="Q26" s="3" t="s">
        <v>38</v>
      </c>
      <c r="R26" s="3" t="e">
        <f>HLOOKUP(NDF[[#This Row],[Evénement]],Paramétrage!$L$1:$P$2,2,0)</f>
        <v>#N/A</v>
      </c>
      <c r="S26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6" s="9"/>
      <c r="U26" s="9"/>
    </row>
    <row r="27" spans="1:21">
      <c r="A27" s="75">
        <v>11</v>
      </c>
      <c r="B27" s="75"/>
      <c r="C27" s="75"/>
      <c r="D27" s="40"/>
      <c r="E27" s="41"/>
      <c r="F27" s="42"/>
      <c r="G27" s="58"/>
      <c r="H27" s="43"/>
      <c r="I27" s="44"/>
      <c r="J27" s="82"/>
      <c r="K27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7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7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7" s="3" t="str">
        <f>IF(B27="","",VLOOKUP(B27,Paramétrage!$E$2:$F$12,2,FALSE))</f>
        <v/>
      </c>
      <c r="O27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7" s="3" t="str">
        <f>VLOOKUP(NDF[[#This Row],[Colonne1]],Paramétrage!$L$73:$M$223,2,FALSE)</f>
        <v>0068 - IT PARIS</v>
      </c>
      <c r="Q27" s="3" t="s">
        <v>38</v>
      </c>
      <c r="R27" s="3" t="e">
        <f>HLOOKUP(NDF[[#This Row],[Evénement]],Paramétrage!$L$1:$P$2,2,0)</f>
        <v>#N/A</v>
      </c>
      <c r="S27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7" s="9"/>
      <c r="U27" s="9"/>
    </row>
    <row r="28" spans="1:21">
      <c r="A28" s="75">
        <v>12</v>
      </c>
      <c r="B28" s="75"/>
      <c r="C28" s="75"/>
      <c r="D28" s="40"/>
      <c r="E28" s="41"/>
      <c r="F28" s="42"/>
      <c r="G28" s="58"/>
      <c r="H28" s="43"/>
      <c r="I28" s="44"/>
      <c r="J28" s="82"/>
      <c r="K28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8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8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8" s="3" t="str">
        <f>IF(B28="","",VLOOKUP(B28,Paramétrage!$E$2:$F$12,2,FALSE))</f>
        <v/>
      </c>
      <c r="O28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8" s="3" t="str">
        <f>VLOOKUP(NDF[[#This Row],[Colonne1]],Paramétrage!$L$73:$M$223,2,FALSE)</f>
        <v>0068 - IT PARIS</v>
      </c>
      <c r="Q28" s="3" t="s">
        <v>38</v>
      </c>
      <c r="R28" s="3" t="e">
        <f>HLOOKUP(NDF[[#This Row],[Evénement]],Paramétrage!$L$1:$P$2,2,0)</f>
        <v>#N/A</v>
      </c>
      <c r="S28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8" s="9"/>
      <c r="U28" s="9"/>
    </row>
    <row r="29" spans="1:21">
      <c r="A29" s="75">
        <v>13</v>
      </c>
      <c r="B29" s="75"/>
      <c r="C29" s="75"/>
      <c r="D29" s="40"/>
      <c r="E29" s="41"/>
      <c r="F29" s="42"/>
      <c r="G29" s="58"/>
      <c r="H29" s="43"/>
      <c r="I29" s="44"/>
      <c r="J29" s="82"/>
      <c r="K29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29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29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29" s="3" t="str">
        <f>IF(B29="","",VLOOKUP(B29,Paramétrage!$E$2:$F$12,2,FALSE))</f>
        <v/>
      </c>
      <c r="O29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29" s="3" t="str">
        <f>VLOOKUP(NDF[[#This Row],[Colonne1]],Paramétrage!$L$73:$M$223,2,FALSE)</f>
        <v>0068 - IT PARIS</v>
      </c>
      <c r="Q29" s="3" t="s">
        <v>38</v>
      </c>
      <c r="R29" s="3" t="e">
        <f>HLOOKUP(NDF[[#This Row],[Evénement]],Paramétrage!$L$1:$P$2,2,0)</f>
        <v>#N/A</v>
      </c>
      <c r="S29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29" s="9"/>
      <c r="U29" s="9"/>
    </row>
    <row r="30" spans="1:21">
      <c r="A30" s="75">
        <v>14</v>
      </c>
      <c r="B30" s="75"/>
      <c r="C30" s="75"/>
      <c r="D30" s="40"/>
      <c r="E30" s="41"/>
      <c r="F30" s="42"/>
      <c r="G30" s="58"/>
      <c r="H30" s="43"/>
      <c r="I30" s="44"/>
      <c r="J30" s="82"/>
      <c r="K30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30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30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30" s="3" t="str">
        <f>IF(B30="","",VLOOKUP(B30,Paramétrage!$E$2:$F$12,2,FALSE))</f>
        <v/>
      </c>
      <c r="O30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30" s="3" t="str">
        <f>VLOOKUP(NDF[[#This Row],[Colonne1]],Paramétrage!$L$73:$M$223,2,FALSE)</f>
        <v>0068 - IT PARIS</v>
      </c>
      <c r="Q30" s="3" t="s">
        <v>38</v>
      </c>
      <c r="R30" s="3" t="e">
        <f>HLOOKUP(NDF[[#This Row],[Evénement]],Paramétrage!$L$1:$P$2,2,0)</f>
        <v>#N/A</v>
      </c>
      <c r="S30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30" s="9"/>
      <c r="U30" s="9"/>
    </row>
    <row r="31" spans="1:21">
      <c r="A31" s="75">
        <v>15</v>
      </c>
      <c r="B31" s="75"/>
      <c r="C31" s="75"/>
      <c r="D31" s="40"/>
      <c r="E31" s="41"/>
      <c r="F31" s="42"/>
      <c r="G31" s="58"/>
      <c r="H31" s="43"/>
      <c r="I31" s="44"/>
      <c r="J31" s="82"/>
      <c r="K31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31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31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31" s="3" t="str">
        <f>IF(B31="","",VLOOKUP(B31,Paramétrage!$E$2:$F$12,2,FALSE))</f>
        <v/>
      </c>
      <c r="O31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31" s="3" t="str">
        <f>VLOOKUP(NDF[[#This Row],[Colonne1]],Paramétrage!$L$73:$M$223,2,FALSE)</f>
        <v>0068 - IT PARIS</v>
      </c>
      <c r="Q31" s="3" t="s">
        <v>38</v>
      </c>
      <c r="R31" s="3" t="e">
        <f>HLOOKUP(NDF[[#This Row],[Evénement]],Paramétrage!$L$1:$P$2,2,0)</f>
        <v>#N/A</v>
      </c>
      <c r="S31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31" s="9"/>
      <c r="U31" s="9"/>
    </row>
    <row r="32" spans="1:21">
      <c r="A32" s="75">
        <v>16</v>
      </c>
      <c r="B32" s="75"/>
      <c r="C32" s="75"/>
      <c r="D32" s="40"/>
      <c r="E32" s="41"/>
      <c r="F32" s="42"/>
      <c r="G32" s="58"/>
      <c r="H32" s="43"/>
      <c r="I32" s="44"/>
      <c r="J32" s="82"/>
      <c r="K32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32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32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32" s="3" t="str">
        <f>IF(B32="","",VLOOKUP(B32,Paramétrage!$E$2:$F$12,2,FALSE))</f>
        <v/>
      </c>
      <c r="O32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32" s="3" t="str">
        <f>VLOOKUP(NDF[[#This Row],[Colonne1]],Paramétrage!$L$73:$M$223,2,FALSE)</f>
        <v>0068 - IT PARIS</v>
      </c>
      <c r="Q32" s="3" t="s">
        <v>38</v>
      </c>
      <c r="R32" s="3" t="e">
        <f>HLOOKUP(NDF[[#This Row],[Evénement]],Paramétrage!$L$1:$P$2,2,0)</f>
        <v>#N/A</v>
      </c>
      <c r="S32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32" s="9"/>
      <c r="U32" s="9"/>
    </row>
    <row r="33" spans="1:21">
      <c r="A33" s="75">
        <v>17</v>
      </c>
      <c r="B33" s="75"/>
      <c r="C33" s="75"/>
      <c r="D33" s="40"/>
      <c r="E33" s="41"/>
      <c r="F33" s="42"/>
      <c r="G33" s="58"/>
      <c r="H33" s="43"/>
      <c r="I33" s="44"/>
      <c r="J33" s="82"/>
      <c r="K33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33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33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33" s="3" t="str">
        <f>IF(B33="","",VLOOKUP(B33,Paramétrage!$E$2:$F$12,2,FALSE))</f>
        <v/>
      </c>
      <c r="O33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33" s="3" t="str">
        <f>VLOOKUP(NDF[[#This Row],[Colonne1]],Paramétrage!$L$73:$M$223,2,FALSE)</f>
        <v>0068 - IT PARIS</v>
      </c>
      <c r="Q33" s="3" t="s">
        <v>38</v>
      </c>
      <c r="R33" s="3" t="e">
        <f>HLOOKUP(NDF[[#This Row],[Evénement]],Paramétrage!$L$1:$P$2,2,0)</f>
        <v>#N/A</v>
      </c>
      <c r="S33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33" s="9"/>
      <c r="U33" s="9"/>
    </row>
    <row r="34" spans="1:21">
      <c r="A34" s="75">
        <v>18</v>
      </c>
      <c r="B34" s="75"/>
      <c r="C34" s="75"/>
      <c r="D34" s="40"/>
      <c r="E34" s="41"/>
      <c r="F34" s="42"/>
      <c r="G34" s="58"/>
      <c r="H34" s="43"/>
      <c r="I34" s="44"/>
      <c r="J34" s="82"/>
      <c r="K34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34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34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34" s="3" t="str">
        <f>IF(B34="","",VLOOKUP(B34,Paramétrage!$E$2:$F$12,2,FALSE))</f>
        <v/>
      </c>
      <c r="O34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34" s="3" t="str">
        <f>VLOOKUP(NDF[[#This Row],[Colonne1]],Paramétrage!$L$73:$M$223,2,FALSE)</f>
        <v>0068 - IT PARIS</v>
      </c>
      <c r="Q34" s="3" t="s">
        <v>38</v>
      </c>
      <c r="R34" s="3" t="e">
        <f>HLOOKUP(NDF[[#This Row],[Evénement]],Paramétrage!$L$1:$P$2,2,0)</f>
        <v>#N/A</v>
      </c>
      <c r="S34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34" s="9"/>
      <c r="U34" s="9"/>
    </row>
    <row r="35" spans="1:21">
      <c r="A35" s="75">
        <v>19</v>
      </c>
      <c r="B35" s="75"/>
      <c r="C35" s="75"/>
      <c r="D35" s="40"/>
      <c r="E35" s="41"/>
      <c r="F35" s="42"/>
      <c r="G35" s="58"/>
      <c r="H35" s="43"/>
      <c r="I35" s="44"/>
      <c r="J35" s="82"/>
      <c r="K35" s="88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35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35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35" s="3" t="str">
        <f>IF(B35="","",VLOOKUP(B35,Paramétrage!$E$2:$F$12,2,FALSE))</f>
        <v/>
      </c>
      <c r="O35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35" s="3" t="str">
        <f>VLOOKUP(NDF[[#This Row],[Colonne1]],Paramétrage!$L$73:$M$223,2,FALSE)</f>
        <v>0068 - IT PARIS</v>
      </c>
      <c r="Q35" s="3" t="s">
        <v>38</v>
      </c>
      <c r="R35" s="3" t="e">
        <f>HLOOKUP(NDF[[#This Row],[Evénement]],Paramétrage!$L$1:$P$2,2,0)</f>
        <v>#N/A</v>
      </c>
      <c r="S35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35" s="9"/>
      <c r="U35" s="9"/>
    </row>
    <row r="36" spans="1:21" ht="15" thickBot="1">
      <c r="A36" s="75">
        <v>20</v>
      </c>
      <c r="B36" s="75"/>
      <c r="C36" s="75"/>
      <c r="D36" s="40"/>
      <c r="E36" s="83"/>
      <c r="F36" s="84"/>
      <c r="G36" s="58"/>
      <c r="H36" s="85"/>
      <c r="I36" s="86"/>
      <c r="J36" s="82"/>
      <c r="K36" s="89">
        <f>IF(AND(NDF[[#This Row],[Type de dépense]]="Repas",NDF[[#This Row],[Déjeuner/Dîner]]="Dîner",Limit_Diner=0),NDF[[#This Row],[Total]],IF(AND(NDF[[#This Row],[Type de dépense]]="Repas",NDF[[#This Row],[Déjeuner/Dîner]]="Déjeuner",Limit_dej=0),NDF[[#This Row],[Total]],IF(AND(NDF[[#This Row],[Type de dépense]]="Hébergement",Hotel=0),NDF[[#This Row],[Total]],IF(AND(NDF[[#This Row],[Type de dépense]]="Hébergement",NDF[[#This Row],[Total]]&gt;Hotel),Hotel,IF(AND(NDF[[#This Row],[Type de dépense]]="Véhicule Personnel (trajet en Km Ecole/Salon)",Puissance_Fiscale=""),"",IF(AND(NDF[[#This Row],[Type de dépense]]="Repas",NDF[[#This Row],[Déjeuner/Dîner]]&lt;&gt;0,NDF[[#This Row],[Nb de pers]]=""),"",IF(AND(NDF[[#This Row],[Type de dépense]]="Repas",NDF[[#This Row],[Déjeuner/Dîner]]="Déjeuner"),IF(NDF[[#This Row],[Total]]/NDF[[#This Row],[Nb de pers]]&lt;(Limit_dej+0.01),NDF[[#This Row],[Total]],NDF[[#This Row],[Nb de pers]]*Limit_dej),IF(AND(NDF[[#This Row],[Type de dépense]]="Repas",NDF[[#This Row],[Déjeuner/Dîner]]="Dîner"),IF(NDF[[#This Row],[Total]]/NDF[[#This Row],[Nb de pers]]&lt;Limit_Diner+0.01,NDF[[#This Row],[Total]],NDF[[#This Row],[Nb de pers]]*Limit_Diner),IF(NDF[[#This Row],[Type de dépense]]="Véhicule Personnel (trajet en Km Ecole/Salon)",NDF[[#This Row],[Total]]*Coeff_Fiscal,IF(AND(NDF[[#This Row],[Type de dépense]]="Repas",OR(NDF[[#This Row],[Déjeuner/Dîner]]="",NDF[[#This Row],[Nb de pers]]="")),"",NDF[[#This Row],[Total]]))))))))))</f>
        <v>0</v>
      </c>
      <c r="L36" s="57" t="str">
        <f>IF(NDF[[#This Row],[Remboursement Calculé]]="","",IF(ISNA(INDEX(Mapping_Comptable[Libellé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pers]]="")),"",INDEX(Mapping_Comptable[Compte Comptable],MATCH(CONCATENATE(NDF[[#This Row],[Evénement]],"/",NDF[[#This Row],[Type de dépense]]),Mapping_Comptable[Column1],0),0))))</f>
        <v>en attente</v>
      </c>
      <c r="M36" s="3" t="str">
        <f>IF(NDF[[#This Row],[Remboursement Calculé]]="","en attente",IF(ISNA(INDEX(Mapping_Comptable[Libellé comptable],MATCH(CONCATENATE(NDF[[#This Row],[Evénement]],"/",NDF[[#This Row],[Type de dépense]]),Mapping_Comptable[Column1],0),0)),"en attente",IF(AND(NDF[[#This Row],[Type de dépense]]="Repas",OR(NDF[[#This Row],[Déjeuner/Dîner]]="",NDF[[#This Row],[Nb de pers]]="")),"",INDEX(Mapping_Comptable[Libellé comptable],MATCH(CONCATENATE(NDF[[#This Row],[Evénement]],"/",NDF[[#This Row],[Type de dépense]]),Mapping_Comptable[Column1],0),0))))</f>
        <v>en attente</v>
      </c>
      <c r="N36" s="3" t="str">
        <f>IF(B36="","",VLOOKUP(B36,Paramétrage!$E$2:$F$12,2,FALSE))</f>
        <v/>
      </c>
      <c r="O36" s="3" t="str">
        <f>IF(AND(NDF[[#This Row],[Ecole/Prog/Dépt]]="",NDF[[#This Row],[Ville]]=""),$B$6&amp;$B$7,IF(AND(NDF[[#This Row],[Ecole/Prog/Dépt]]="",NDF[[#This Row],[Ville]]&lt;&gt;""),$B$6&amp;NDF[[#This Row],[Ville]],IF(AND(NDF[[#This Row],[Ecole/Prog/Dépt]]&lt;&gt;"",NDF[[#This Row],[Ville]]=""),NDF[[#This Row],[Ecole/Prog/Dépt]]&amp;$B$7,IF(AND(NDF[[#This Row],[Ecole/Prog/Dépt]]&lt;&gt;"",NDF[[#This Row],[Ville]]&lt;&gt;""),NDF[[#This Row],[Ecole/Prog/Dépt]]&amp;NDF[[#This Row],[Ville]],""))))</f>
        <v>EPITECH ITPARIS et RP</v>
      </c>
      <c r="P36" s="3" t="str">
        <f>VLOOKUP(NDF[[#This Row],[Colonne1]],Paramétrage!$L$73:$M$223,2,FALSE)</f>
        <v>0068 - IT PARIS</v>
      </c>
      <c r="Q36" s="3" t="s">
        <v>38</v>
      </c>
      <c r="R36" s="3" t="e">
        <f>HLOOKUP(NDF[[#This Row],[Evénement]],Paramétrage!$L$1:$P$2,2,0)</f>
        <v>#N/A</v>
      </c>
      <c r="S36" s="70" t="str">
        <f>IF(AND(NDF[[#This Row],[Remboursement Calculé]]="",NDF[[#This Row],[Libellé de compte]]="en attente",NDF[[#This Row],[Type de dépense]]="Véhicule Personnel (trajet en Km Ecole/Salon)"),"Trajet ! Veuillez renseigner la puissance Fiscale de votre véhicule",IF(AND(NDF[[#This Row],[Evénement]]="Autre",NDF[[#This Row],[Type de dépense]]="Autre"),"En attente affectation par le comptable, renseigner un commentaire",IF(AND(NDF[[#This Row],[Remboursement Calculé]]&gt;0,NDF[[#This Row],[Libellé de compte]]="en attente"),"Attention Evénement et Type de Dépense INCOMPATIBLES",IF(AND(NDF[[#This Row],[Type de dépense]]="Repas",OR(NDF[[#This Row],[Déjeuner/Dîner]]="",NDF[[#This Row],[Nb de pers]]="")),"Attention type de Dépense 'Repas' renseignez aussi le Type de Repas et/ou le nb de pers",IF(AND($B$7="",NDF[[#This Row],[Ville]]=""),"Ville non renseignée",IF(AND($B$6="",NDF[[#This Row],[Ecole/Prog/Dépt]]=""),"Ecole/Prog/Dépt non renseignés",""))))))</f>
        <v/>
      </c>
      <c r="T36" s="9"/>
      <c r="U36" s="9"/>
    </row>
    <row r="38" spans="1:21">
      <c r="A38" s="76"/>
    </row>
    <row r="39" spans="1:21">
      <c r="B39" s="67" t="s">
        <v>45</v>
      </c>
      <c r="C39" s="71"/>
      <c r="D39" s="62"/>
      <c r="G39" s="67" t="s">
        <v>46</v>
      </c>
      <c r="H39" s="73"/>
      <c r="I39" s="62"/>
    </row>
    <row r="40" spans="1:21">
      <c r="B40" s="68"/>
      <c r="C40" s="1"/>
      <c r="D40" s="64"/>
      <c r="G40" s="63"/>
      <c r="I40" s="64"/>
    </row>
    <row r="41" spans="1:21">
      <c r="B41" s="68"/>
      <c r="C41" s="1"/>
      <c r="D41" s="64"/>
      <c r="G41" s="63"/>
      <c r="I41" s="64"/>
    </row>
    <row r="42" spans="1:21">
      <c r="B42" s="77"/>
      <c r="C42" s="78" t="str">
        <f>IF('NDF A IMPRIMER pour comptable '!E3=K15,"","ERREUR - Le montant du tableau croisé dynamique est différent de la somme des lignes de la NDF, veuillez actualiser le tableau croisé dynamique - ERREUR")</f>
        <v/>
      </c>
      <c r="D42" s="64"/>
      <c r="G42" s="63"/>
      <c r="I42" s="64"/>
    </row>
    <row r="43" spans="1:21">
      <c r="B43" s="68"/>
      <c r="C43" s="1"/>
      <c r="D43" s="64"/>
      <c r="G43" s="63"/>
      <c r="I43" s="64"/>
    </row>
    <row r="44" spans="1:21">
      <c r="B44" s="68"/>
      <c r="C44" s="1"/>
      <c r="D44" s="64"/>
      <c r="G44" s="63"/>
      <c r="I44" s="64"/>
    </row>
    <row r="45" spans="1:21">
      <c r="B45" s="69"/>
      <c r="C45" s="72"/>
      <c r="D45" s="66"/>
      <c r="G45" s="65"/>
      <c r="H45" s="74"/>
      <c r="I45" s="66"/>
    </row>
    <row r="46" spans="1:21" ht="15.6">
      <c r="A46" s="80" t="s">
        <v>47</v>
      </c>
      <c r="B46" s="80"/>
      <c r="C46" s="80"/>
      <c r="D46" s="80"/>
      <c r="E46" s="80"/>
      <c r="F46" s="80"/>
      <c r="G46" s="80"/>
      <c r="H46" s="80"/>
      <c r="I46" s="81"/>
      <c r="J46" s="80"/>
      <c r="P46" s="79" t="s">
        <v>48</v>
      </c>
    </row>
    <row r="48" spans="1:21">
      <c r="H48" s="1"/>
      <c r="I48"/>
    </row>
  </sheetData>
  <sheetProtection algorithmName="SHA-512" hashValue="xEoWIUgOR2zKb2wqN6GJSn6cW7mNHvW+p/fFrvwP+5/tF2N7TLnoxaVpecPC/037W3K1X8IS7X1V/r/UErcvHg==" saltValue="LYdikocVhw8RvmG/jzYrrw==" spinCount="100000" sheet="1" insertRows="0" autoFilter="0" pivotTables="0"/>
  <mergeCells count="3">
    <mergeCell ref="D9:G9"/>
    <mergeCell ref="H15:I15"/>
    <mergeCell ref="E15:F15"/>
  </mergeCells>
  <phoneticPr fontId="12" type="noConversion"/>
  <conditionalFormatting sqref="H13:I13">
    <cfRule type="expression" dxfId="41" priority="7">
      <formula>$I$11=0</formula>
    </cfRule>
  </conditionalFormatting>
  <conditionalFormatting sqref="K17:K36">
    <cfRule type="expression" dxfId="40" priority="10">
      <formula>AND(F17="Véhicule Personnel (trajet en Km Ecole/Salon)", $I$11="")</formula>
    </cfRule>
    <cfRule type="expression" dxfId="39" priority="11">
      <formula>AND(F17="Repas",OR(H17="",I17=""))</formula>
    </cfRule>
    <cfRule type="expression" dxfId="38" priority="12">
      <formula>AND(K17&gt;0,M17="en attente")</formula>
    </cfRule>
  </conditionalFormatting>
  <dataValidations count="3">
    <dataValidation type="list" allowBlank="1" showInputMessage="1" showErrorMessage="1" sqref="F17:F36" xr:uid="{00000000-0002-0000-0100-000000000000}">
      <formula1>INDIRECT(R17)</formula1>
    </dataValidation>
    <dataValidation type="list" allowBlank="1" showInputMessage="1" showErrorMessage="1" sqref="B7" xr:uid="{D6A2718C-14E7-48C5-B6EF-1D941FDDCA1A}">
      <formula1>INDIRECT($D$6)</formula1>
    </dataValidation>
    <dataValidation type="list" allowBlank="1" showInputMessage="1" showErrorMessage="1" sqref="C17:C36" xr:uid="{10256B22-90CB-4068-9E3C-7348770BB540}">
      <formula1>INDIRECT($N17)</formula1>
    </dataValidation>
  </dataValidations>
  <printOptions horizontalCentered="1"/>
  <pageMargins left="0.23622047244094491" right="0.23622047244094491" top="0.39370078740157483" bottom="0.39370078740157483" header="0" footer="0.31496062992125984"/>
  <pageSetup paperSize="9" scale="58" orientation="landscape" r:id="rId1"/>
  <headerFooter>
    <oddFooter>&amp;LEdité le &amp;D à &amp;T&amp;C&amp;F&amp;RPage &amp;Pde &amp;N</oddFooter>
  </headerFooter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100-000002000000}">
          <x14:formula1>
            <xm:f>Paramétrage!$H$22:$H$42</xm:f>
          </x14:formula1>
          <xm:sqref>B8</xm:sqref>
        </x14:dataValidation>
        <x14:dataValidation type="list" allowBlank="1" showInputMessage="1" showErrorMessage="1" xr:uid="{00000000-0002-0000-0100-000004000000}">
          <x14:formula1>
            <xm:f>Paramétrage!$I$3:$I$5</xm:f>
          </x14:formula1>
          <xm:sqref>H17:H36</xm:sqref>
        </x14:dataValidation>
        <x14:dataValidation type="list" allowBlank="1" showInputMessage="1" showErrorMessage="1" xr:uid="{00000000-0002-0000-0100-000003000000}">
          <x14:formula1>
            <xm:f>Paramétrage!$G$3:$G$8</xm:f>
          </x14:formula1>
          <xm:sqref>E17:E36</xm:sqref>
        </x14:dataValidation>
        <x14:dataValidation type="list" allowBlank="1" showInputMessage="1" showErrorMessage="1" xr:uid="{00000000-0002-0000-0100-000001000000}">
          <x14:formula1>
            <xm:f>Paramétrage!$J$4:$J$5</xm:f>
          </x14:formula1>
          <xm:sqref>I8</xm:sqref>
        </x14:dataValidation>
        <x14:dataValidation type="list" allowBlank="1" showInputMessage="1" showErrorMessage="1" xr:uid="{A347AECD-C743-4EB8-B4B7-512C4AC4DDB1}">
          <x14:formula1>
            <xm:f>Paramétrage!$J$3:$J$5</xm:f>
          </x14:formula1>
          <xm:sqref>I7</xm:sqref>
        </x14:dataValidation>
        <x14:dataValidation type="list" allowBlank="1" showInputMessage="1" showErrorMessage="1" xr:uid="{5FA4D2DC-13AE-44F0-A1B7-4AF0F643DF1B}">
          <x14:formula1>
            <xm:f>Paramétrage!$E$2:$E$12</xm:f>
          </x14:formula1>
          <xm:sqref>B6 B17:B36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H33"/>
  <sheetViews>
    <sheetView workbookViewId="0">
      <selection activeCell="D7" sqref="D7"/>
    </sheetView>
  </sheetViews>
  <sheetFormatPr defaultColWidth="11" defaultRowHeight="14.45"/>
  <cols>
    <col min="1" max="1" width="11.25" customWidth="1"/>
    <col min="2" max="2" width="14.875" customWidth="1"/>
    <col min="3" max="3" width="27.625" customWidth="1"/>
    <col min="4" max="4" width="32.75" customWidth="1"/>
    <col min="5" max="5" width="13" customWidth="1"/>
  </cols>
  <sheetData>
    <row r="1" spans="1:5">
      <c r="A1" s="100" t="s">
        <v>49</v>
      </c>
      <c r="B1" s="100"/>
      <c r="C1" s="100"/>
      <c r="D1" s="100"/>
      <c r="E1" s="100"/>
    </row>
    <row r="2" spans="1:5" ht="15">
      <c r="A2" s="90" t="s">
        <v>38</v>
      </c>
      <c r="B2" s="90" t="s">
        <v>33</v>
      </c>
      <c r="C2" s="90" t="s">
        <v>34</v>
      </c>
      <c r="D2" s="90" t="s">
        <v>37</v>
      </c>
      <c r="E2" s="91" t="s">
        <v>50</v>
      </c>
    </row>
    <row r="3" spans="1:5" ht="15" customHeight="1">
      <c r="A3" s="92" t="s">
        <v>38</v>
      </c>
      <c r="B3" s="91"/>
      <c r="C3" s="91"/>
      <c r="D3" s="91"/>
      <c r="E3" s="93">
        <v>34.18</v>
      </c>
    </row>
    <row r="4" spans="1:5" ht="15">
      <c r="A4" s="92"/>
      <c r="B4" s="92">
        <v>46760643</v>
      </c>
      <c r="C4" s="91" t="s">
        <v>51</v>
      </c>
      <c r="D4" s="91" t="s">
        <v>52</v>
      </c>
      <c r="E4" s="93">
        <v>34.18</v>
      </c>
    </row>
    <row r="5" spans="1:5" ht="15">
      <c r="A5" s="92"/>
      <c r="B5" s="92" t="s">
        <v>53</v>
      </c>
      <c r="C5" s="91" t="s">
        <v>53</v>
      </c>
      <c r="D5" s="91" t="s">
        <v>52</v>
      </c>
      <c r="E5" s="93">
        <v>0</v>
      </c>
    </row>
    <row r="6" spans="1:5" ht="15">
      <c r="A6" s="92" t="s">
        <v>54</v>
      </c>
      <c r="B6" s="92"/>
      <c r="C6" s="92"/>
      <c r="D6" s="92"/>
      <c r="E6" s="93">
        <v>34.18</v>
      </c>
    </row>
    <row r="33" spans="8:8">
      <c r="H33" t="s">
        <v>55</v>
      </c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scale="91" orientation="landscape" blackAndWhite="1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3"/>
  <sheetViews>
    <sheetView zoomScale="80" zoomScaleNormal="80" workbookViewId="0">
      <selection activeCell="E9" sqref="E9"/>
    </sheetView>
  </sheetViews>
  <sheetFormatPr defaultColWidth="9" defaultRowHeight="14.45"/>
  <cols>
    <col min="1" max="1" width="30.5" bestFit="1" customWidth="1"/>
    <col min="2" max="2" width="36.875" bestFit="1" customWidth="1"/>
    <col min="3" max="3" width="27.625" customWidth="1"/>
    <col min="4" max="4" width="33.125" customWidth="1"/>
    <col min="5" max="5" width="42.625" customWidth="1"/>
    <col min="6" max="6" width="9" customWidth="1"/>
    <col min="7" max="7" width="30.5" bestFit="1" customWidth="1"/>
    <col min="8" max="8" width="55.25" bestFit="1" customWidth="1"/>
    <col min="9" max="9" width="18.25" bestFit="1" customWidth="1"/>
    <col min="12" max="12" width="55.25" bestFit="1" customWidth="1"/>
    <col min="13" max="15" width="38.25" bestFit="1" customWidth="1"/>
    <col min="16" max="16" width="27" bestFit="1" customWidth="1"/>
  </cols>
  <sheetData>
    <row r="1" spans="1:16">
      <c r="A1" s="39" t="s">
        <v>56</v>
      </c>
      <c r="E1" t="s">
        <v>57</v>
      </c>
      <c r="G1" s="101" t="s">
        <v>58</v>
      </c>
      <c r="H1" s="101"/>
      <c r="I1" s="101"/>
      <c r="L1" t="s">
        <v>41</v>
      </c>
      <c r="M1" t="s">
        <v>59</v>
      </c>
      <c r="N1" t="s">
        <v>60</v>
      </c>
      <c r="O1" t="s">
        <v>61</v>
      </c>
      <c r="P1" t="s">
        <v>62</v>
      </c>
    </row>
    <row r="2" spans="1:16">
      <c r="A2" s="38" t="s">
        <v>63</v>
      </c>
      <c r="G2" s="31" t="s">
        <v>26</v>
      </c>
      <c r="H2" s="56" t="s">
        <v>64</v>
      </c>
      <c r="I2" s="32" t="s">
        <v>65</v>
      </c>
      <c r="J2" s="32" t="s">
        <v>66</v>
      </c>
      <c r="L2" t="s">
        <v>67</v>
      </c>
      <c r="M2" t="s">
        <v>68</v>
      </c>
      <c r="N2" t="s">
        <v>69</v>
      </c>
      <c r="O2" t="s">
        <v>70</v>
      </c>
      <c r="P2" t="s">
        <v>71</v>
      </c>
    </row>
    <row r="3" spans="1:16">
      <c r="E3" t="s">
        <v>72</v>
      </c>
      <c r="F3" t="s">
        <v>73</v>
      </c>
      <c r="G3" s="35"/>
      <c r="H3" s="35"/>
      <c r="I3" s="35"/>
      <c r="J3" s="35"/>
    </row>
    <row r="4" spans="1:16">
      <c r="A4" s="17" t="s">
        <v>74</v>
      </c>
      <c r="B4" s="17" t="s">
        <v>75</v>
      </c>
      <c r="C4" s="17"/>
      <c r="D4" s="17"/>
      <c r="E4" t="s">
        <v>11</v>
      </c>
      <c r="F4" t="s">
        <v>76</v>
      </c>
      <c r="G4" s="33" t="s">
        <v>60</v>
      </c>
      <c r="H4" s="35" t="s">
        <v>77</v>
      </c>
      <c r="I4" s="54" t="s">
        <v>78</v>
      </c>
      <c r="J4" s="35" t="s">
        <v>79</v>
      </c>
      <c r="L4" t="s">
        <v>77</v>
      </c>
      <c r="M4" t="s">
        <v>80</v>
      </c>
      <c r="N4" t="s">
        <v>80</v>
      </c>
      <c r="O4" t="s">
        <v>80</v>
      </c>
      <c r="P4" t="s">
        <v>80</v>
      </c>
    </row>
    <row r="5" spans="1:16">
      <c r="A5" s="28" t="s">
        <v>81</v>
      </c>
      <c r="B5" s="28" t="s">
        <v>82</v>
      </c>
      <c r="C5" s="47">
        <v>0.45600000000000002</v>
      </c>
      <c r="D5" s="29">
        <v>3</v>
      </c>
      <c r="E5" t="s">
        <v>83</v>
      </c>
      <c r="F5" t="s">
        <v>84</v>
      </c>
      <c r="G5" s="33" t="s">
        <v>61</v>
      </c>
      <c r="H5" s="34" t="s">
        <v>85</v>
      </c>
      <c r="I5" s="55" t="s">
        <v>86</v>
      </c>
      <c r="J5" s="36" t="s">
        <v>15</v>
      </c>
      <c r="L5" t="s">
        <v>85</v>
      </c>
      <c r="M5" t="s">
        <v>87</v>
      </c>
      <c r="N5" t="s">
        <v>87</v>
      </c>
      <c r="O5" t="s">
        <v>87</v>
      </c>
      <c r="P5" t="s">
        <v>87</v>
      </c>
    </row>
    <row r="6" spans="1:16">
      <c r="A6" s="28" t="s">
        <v>88</v>
      </c>
      <c r="B6" s="28" t="s">
        <v>89</v>
      </c>
      <c r="C6" s="47">
        <v>0.52300000000000002</v>
      </c>
      <c r="D6" s="29">
        <v>4</v>
      </c>
      <c r="E6" t="s">
        <v>90</v>
      </c>
      <c r="F6" t="s">
        <v>91</v>
      </c>
      <c r="G6" s="33" t="s">
        <v>62</v>
      </c>
      <c r="H6" s="34" t="s">
        <v>42</v>
      </c>
      <c r="L6" t="s">
        <v>42</v>
      </c>
      <c r="M6" t="s">
        <v>92</v>
      </c>
      <c r="N6" t="s">
        <v>92</v>
      </c>
      <c r="O6" t="s">
        <v>92</v>
      </c>
      <c r="P6" t="s">
        <v>92</v>
      </c>
    </row>
    <row r="7" spans="1:16">
      <c r="A7" s="28" t="s">
        <v>93</v>
      </c>
      <c r="B7" s="28" t="s">
        <v>94</v>
      </c>
      <c r="C7" s="47">
        <v>0.54800000000000004</v>
      </c>
      <c r="D7" s="29">
        <v>5</v>
      </c>
      <c r="E7" t="s">
        <v>95</v>
      </c>
      <c r="F7" t="s">
        <v>95</v>
      </c>
      <c r="G7" s="34" t="s">
        <v>59</v>
      </c>
      <c r="H7" s="34" t="s">
        <v>41</v>
      </c>
      <c r="L7" t="s">
        <v>96</v>
      </c>
      <c r="M7" t="s">
        <v>97</v>
      </c>
      <c r="N7" t="s">
        <v>97</v>
      </c>
      <c r="O7" t="s">
        <v>97</v>
      </c>
      <c r="P7" t="s">
        <v>97</v>
      </c>
    </row>
    <row r="8" spans="1:16">
      <c r="A8" s="28" t="s">
        <v>98</v>
      </c>
      <c r="B8" s="28" t="s">
        <v>99</v>
      </c>
      <c r="C8" s="47">
        <v>0.57399999999999995</v>
      </c>
      <c r="D8" s="29">
        <v>6</v>
      </c>
      <c r="E8" t="s">
        <v>100</v>
      </c>
      <c r="F8" t="s">
        <v>101</v>
      </c>
      <c r="G8" s="37" t="s">
        <v>41</v>
      </c>
      <c r="H8" s="34" t="s">
        <v>96</v>
      </c>
      <c r="L8" t="s">
        <v>102</v>
      </c>
      <c r="M8" t="s">
        <v>41</v>
      </c>
      <c r="N8" t="s">
        <v>41</v>
      </c>
      <c r="O8" t="s">
        <v>41</v>
      </c>
      <c r="P8" t="s">
        <v>41</v>
      </c>
    </row>
    <row r="9" spans="1:16">
      <c r="A9" s="28" t="s">
        <v>103</v>
      </c>
      <c r="B9" s="28" t="s">
        <v>104</v>
      </c>
      <c r="C9" s="47">
        <v>0.60099999999999998</v>
      </c>
      <c r="D9" s="29">
        <v>7</v>
      </c>
      <c r="E9" t="s">
        <v>105</v>
      </c>
      <c r="F9" t="s">
        <v>105</v>
      </c>
      <c r="H9" s="34" t="s">
        <v>102</v>
      </c>
      <c r="L9" t="s">
        <v>106</v>
      </c>
    </row>
    <row r="10" spans="1:16">
      <c r="A10" s="28" t="s">
        <v>107</v>
      </c>
      <c r="B10" s="28" t="s">
        <v>104</v>
      </c>
      <c r="C10" s="47">
        <v>0.60099999999999998</v>
      </c>
      <c r="D10" s="29" t="s">
        <v>108</v>
      </c>
      <c r="E10" t="s">
        <v>109</v>
      </c>
      <c r="F10" t="s">
        <v>109</v>
      </c>
      <c r="H10" s="34" t="s">
        <v>106</v>
      </c>
      <c r="L10" t="s">
        <v>110</v>
      </c>
    </row>
    <row r="11" spans="1:16">
      <c r="E11" t="s">
        <v>111</v>
      </c>
      <c r="F11" t="s">
        <v>111</v>
      </c>
      <c r="H11" s="34" t="s">
        <v>110</v>
      </c>
      <c r="L11" t="s">
        <v>80</v>
      </c>
    </row>
    <row r="12" spans="1:16">
      <c r="E12" t="s">
        <v>112</v>
      </c>
      <c r="F12" t="s">
        <v>113</v>
      </c>
      <c r="H12" s="34" t="s">
        <v>80</v>
      </c>
      <c r="L12" t="s">
        <v>114</v>
      </c>
    </row>
    <row r="13" spans="1:16">
      <c r="B13" s="17" t="s">
        <v>115</v>
      </c>
      <c r="C13" s="30" t="s">
        <v>116</v>
      </c>
      <c r="H13" s="34" t="s">
        <v>114</v>
      </c>
      <c r="L13" t="s">
        <v>87</v>
      </c>
    </row>
    <row r="14" spans="1:16">
      <c r="B14" s="28" t="s">
        <v>117</v>
      </c>
      <c r="C14" s="53">
        <v>9</v>
      </c>
      <c r="H14" s="34" t="s">
        <v>87</v>
      </c>
      <c r="L14" t="s">
        <v>92</v>
      </c>
    </row>
    <row r="15" spans="1:16">
      <c r="B15" s="28" t="s">
        <v>118</v>
      </c>
      <c r="C15" s="53">
        <v>18</v>
      </c>
      <c r="H15" s="34" t="s">
        <v>92</v>
      </c>
      <c r="L15" t="s">
        <v>97</v>
      </c>
    </row>
    <row r="16" spans="1:16">
      <c r="B16" s="28" t="s">
        <v>80</v>
      </c>
      <c r="C16" s="53">
        <v>100</v>
      </c>
      <c r="H16" s="34" t="s">
        <v>97</v>
      </c>
      <c r="L16" t="s">
        <v>119</v>
      </c>
    </row>
    <row r="17" spans="1:21">
      <c r="A17" s="21"/>
      <c r="H17" s="34" t="s">
        <v>119</v>
      </c>
      <c r="L17" t="s">
        <v>120</v>
      </c>
    </row>
    <row r="18" spans="1:21">
      <c r="A18" s="21"/>
      <c r="H18" s="36" t="s">
        <v>120</v>
      </c>
      <c r="L18" t="s">
        <v>41</v>
      </c>
    </row>
    <row r="19" spans="1:21">
      <c r="A19" s="21"/>
    </row>
    <row r="20" spans="1:21" ht="15" thickBot="1">
      <c r="A20" s="21"/>
      <c r="K20" t="s">
        <v>24</v>
      </c>
      <c r="L20" t="s">
        <v>73</v>
      </c>
      <c r="M20" t="s">
        <v>76</v>
      </c>
      <c r="N20" t="s">
        <v>84</v>
      </c>
      <c r="O20" t="s">
        <v>91</v>
      </c>
      <c r="P20" t="s">
        <v>95</v>
      </c>
      <c r="Q20" t="s">
        <v>101</v>
      </c>
      <c r="R20" t="s">
        <v>105</v>
      </c>
      <c r="S20" t="s">
        <v>109</v>
      </c>
      <c r="T20" t="s">
        <v>111</v>
      </c>
      <c r="U20" t="s">
        <v>113</v>
      </c>
    </row>
    <row r="21" spans="1:21">
      <c r="A21" s="20" t="s">
        <v>121</v>
      </c>
      <c r="B21" s="23"/>
      <c r="C21" s="23"/>
      <c r="D21" s="23"/>
      <c r="E21" s="24"/>
      <c r="H21" t="s">
        <v>122</v>
      </c>
      <c r="I21" t="s">
        <v>123</v>
      </c>
    </row>
    <row r="22" spans="1:21">
      <c r="A22" s="21" t="s">
        <v>124</v>
      </c>
      <c r="B22" t="s">
        <v>125</v>
      </c>
      <c r="C22" t="s">
        <v>126</v>
      </c>
      <c r="D22" t="s">
        <v>127</v>
      </c>
      <c r="E22" s="25" t="s">
        <v>128</v>
      </c>
      <c r="H22" s="2"/>
      <c r="I22" s="2"/>
      <c r="K22" t="s">
        <v>129</v>
      </c>
      <c r="L22" t="s">
        <v>129</v>
      </c>
      <c r="M22" t="s">
        <v>129</v>
      </c>
      <c r="N22" t="s">
        <v>129</v>
      </c>
      <c r="O22" t="s">
        <v>129</v>
      </c>
      <c r="P22" t="s">
        <v>129</v>
      </c>
      <c r="Q22" t="s">
        <v>129</v>
      </c>
      <c r="R22" t="s">
        <v>129</v>
      </c>
      <c r="S22" t="s">
        <v>129</v>
      </c>
      <c r="U22" t="s">
        <v>129</v>
      </c>
    </row>
    <row r="23" spans="1:21">
      <c r="A23" s="21" t="s">
        <v>41</v>
      </c>
      <c r="B23" t="s">
        <v>77</v>
      </c>
      <c r="C23" s="48">
        <v>46762363</v>
      </c>
      <c r="D23" s="49" t="s">
        <v>130</v>
      </c>
      <c r="E23" s="25" t="str">
        <f>CONCATENATE(Mapping_Comptable[[#This Row],[Evènement]],"/",Mapping_Comptable[[#This Row],[Type de Dépense]])</f>
        <v>Autre/Achat Média hors WEB</v>
      </c>
      <c r="H23" s="2" t="s">
        <v>131</v>
      </c>
      <c r="I23" s="2" t="s">
        <v>132</v>
      </c>
      <c r="K23" t="s">
        <v>13</v>
      </c>
      <c r="L23" t="s">
        <v>13</v>
      </c>
      <c r="M23" t="s">
        <v>13</v>
      </c>
      <c r="N23" t="s">
        <v>13</v>
      </c>
      <c r="R23" t="s">
        <v>13</v>
      </c>
      <c r="S23" t="s">
        <v>13</v>
      </c>
      <c r="T23" t="s">
        <v>13</v>
      </c>
    </row>
    <row r="24" spans="1:21">
      <c r="A24" s="21" t="s">
        <v>41</v>
      </c>
      <c r="B24" t="s">
        <v>85</v>
      </c>
      <c r="C24" s="48">
        <v>46762369</v>
      </c>
      <c r="D24" s="49" t="s">
        <v>133</v>
      </c>
      <c r="E24" s="25" t="str">
        <f>CONCATENATE(Mapping_Comptable[[#This Row],[Evènement]],"/",Mapping_Comptable[[#This Row],[Type de Dépense]])</f>
        <v>Autre/Achat Média WEB</v>
      </c>
      <c r="H24" s="2" t="s">
        <v>134</v>
      </c>
      <c r="I24" s="2" t="s">
        <v>135</v>
      </c>
      <c r="K24" t="s">
        <v>136</v>
      </c>
      <c r="L24" t="s">
        <v>136</v>
      </c>
      <c r="M24" t="s">
        <v>136</v>
      </c>
      <c r="N24" t="s">
        <v>136</v>
      </c>
      <c r="R24" t="s">
        <v>136</v>
      </c>
      <c r="S24" t="s">
        <v>136</v>
      </c>
    </row>
    <row r="25" spans="1:21">
      <c r="A25" s="21" t="s">
        <v>41</v>
      </c>
      <c r="B25" t="s">
        <v>42</v>
      </c>
      <c r="C25" s="48">
        <v>46760643</v>
      </c>
      <c r="D25" s="49" t="s">
        <v>51</v>
      </c>
      <c r="E25" s="25" t="str">
        <f>CONCATENATE(Mapping_Comptable[[#This Row],[Evènement]],"/",Mapping_Comptable[[#This Row],[Type de Dépense]])</f>
        <v>Autre/Achats Informatiques</v>
      </c>
      <c r="H25" s="2" t="s">
        <v>137</v>
      </c>
      <c r="I25" s="2" t="s">
        <v>138</v>
      </c>
      <c r="K25" t="s">
        <v>139</v>
      </c>
      <c r="L25" t="s">
        <v>139</v>
      </c>
      <c r="M25" t="s">
        <v>139</v>
      </c>
      <c r="N25" t="s">
        <v>139</v>
      </c>
      <c r="R25" t="s">
        <v>139</v>
      </c>
      <c r="S25" t="s">
        <v>139</v>
      </c>
    </row>
    <row r="26" spans="1:21">
      <c r="A26" s="21" t="s">
        <v>41</v>
      </c>
      <c r="B26" t="s">
        <v>96</v>
      </c>
      <c r="C26" s="48">
        <v>46760640</v>
      </c>
      <c r="D26" s="49" t="s">
        <v>140</v>
      </c>
      <c r="E26" s="25" t="str">
        <f>CONCATENATE(Mapping_Comptable[[#This Row],[Evènement]],"/",Mapping_Comptable[[#This Row],[Type de Dépense]])</f>
        <v>Autre/Fournitures de bureau</v>
      </c>
      <c r="H26" s="2" t="s">
        <v>141</v>
      </c>
      <c r="I26" s="2" t="s">
        <v>142</v>
      </c>
      <c r="K26" t="s">
        <v>143</v>
      </c>
      <c r="L26" t="s">
        <v>143</v>
      </c>
      <c r="M26" t="s">
        <v>143</v>
      </c>
      <c r="N26" t="s">
        <v>143</v>
      </c>
      <c r="R26" t="s">
        <v>143</v>
      </c>
      <c r="S26" t="s">
        <v>143</v>
      </c>
    </row>
    <row r="27" spans="1:21">
      <c r="A27" s="21" t="s">
        <v>41</v>
      </c>
      <c r="B27" t="s">
        <v>102</v>
      </c>
      <c r="C27" s="48">
        <v>46760642</v>
      </c>
      <c r="D27" s="49" t="s">
        <v>144</v>
      </c>
      <c r="E27" s="25" t="str">
        <f>CONCATENATE(Mapping_Comptable[[#This Row],[Evènement]],"/",Mapping_Comptable[[#This Row],[Type de Dépense]])</f>
        <v>Autre/Fournitures pédagogique (support de cours etc)</v>
      </c>
      <c r="H27" s="2" t="s">
        <v>145</v>
      </c>
      <c r="I27" s="2" t="s">
        <v>146</v>
      </c>
      <c r="K27" t="s">
        <v>147</v>
      </c>
      <c r="L27" t="s">
        <v>147</v>
      </c>
      <c r="M27" t="s">
        <v>147</v>
      </c>
      <c r="N27" t="s">
        <v>147</v>
      </c>
      <c r="R27" t="s">
        <v>147</v>
      </c>
      <c r="S27" t="s">
        <v>147</v>
      </c>
    </row>
    <row r="28" spans="1:21">
      <c r="A28" s="21" t="s">
        <v>41</v>
      </c>
      <c r="B28" t="s">
        <v>106</v>
      </c>
      <c r="C28" s="48">
        <v>46762620</v>
      </c>
      <c r="D28" s="49" t="s">
        <v>148</v>
      </c>
      <c r="E28" s="25" t="str">
        <f>CONCATENATE(Mapping_Comptable[[#This Row],[Evènement]],"/",Mapping_Comptable[[#This Row],[Type de Dépense]])</f>
        <v>Autre/Frais de téléphone</v>
      </c>
      <c r="H28" s="2" t="s">
        <v>149</v>
      </c>
      <c r="I28" s="2" t="s">
        <v>138</v>
      </c>
      <c r="K28" t="s">
        <v>150</v>
      </c>
      <c r="L28" t="s">
        <v>150</v>
      </c>
      <c r="M28" t="s">
        <v>150</v>
      </c>
      <c r="N28" t="s">
        <v>150</v>
      </c>
      <c r="R28" t="s">
        <v>150</v>
      </c>
      <c r="S28" t="s">
        <v>150</v>
      </c>
    </row>
    <row r="29" spans="1:21">
      <c r="A29" s="21" t="s">
        <v>41</v>
      </c>
      <c r="B29" t="s">
        <v>110</v>
      </c>
      <c r="C29" s="48">
        <v>46762610</v>
      </c>
      <c r="D29" s="49" t="s">
        <v>151</v>
      </c>
      <c r="E29" s="25" t="str">
        <f>CONCATENATE(Mapping_Comptable[[#This Row],[Evènement]],"/",Mapping_Comptable[[#This Row],[Type de Dépense]])</f>
        <v>Autre/Frais Postaux</v>
      </c>
      <c r="H29" s="2" t="s">
        <v>152</v>
      </c>
      <c r="I29" s="2" t="s">
        <v>138</v>
      </c>
      <c r="K29" t="s">
        <v>153</v>
      </c>
      <c r="L29" t="s">
        <v>153</v>
      </c>
      <c r="M29" t="s">
        <v>153</v>
      </c>
      <c r="N29" t="s">
        <v>153</v>
      </c>
      <c r="R29" t="s">
        <v>153</v>
      </c>
      <c r="S29" t="s">
        <v>153</v>
      </c>
    </row>
    <row r="30" spans="1:21">
      <c r="A30" s="21" t="s">
        <v>41</v>
      </c>
      <c r="B30" t="s">
        <v>80</v>
      </c>
      <c r="C30" s="48">
        <v>46762570</v>
      </c>
      <c r="D30" s="49" t="s">
        <v>154</v>
      </c>
      <c r="E30" s="25" t="str">
        <f>CONCATENATE(Mapping_Comptable[[#This Row],[Evènement]],"/",Mapping_Comptable[[#This Row],[Type de Dépense]])</f>
        <v>Autre/Hébergement</v>
      </c>
      <c r="H30" s="2" t="s">
        <v>155</v>
      </c>
      <c r="I30" s="2" t="s">
        <v>156</v>
      </c>
      <c r="K30" t="s">
        <v>157</v>
      </c>
      <c r="L30" t="s">
        <v>157</v>
      </c>
      <c r="M30" t="s">
        <v>157</v>
      </c>
      <c r="N30" t="s">
        <v>157</v>
      </c>
    </row>
    <row r="31" spans="1:21">
      <c r="A31" s="21" t="s">
        <v>41</v>
      </c>
      <c r="B31" t="s">
        <v>114</v>
      </c>
      <c r="C31" s="48">
        <v>46762376</v>
      </c>
      <c r="D31" s="49" t="s">
        <v>158</v>
      </c>
      <c r="E31" s="25" t="str">
        <f>CONCATENATE(Mapping_Comptable[[#This Row],[Evènement]],"/",Mapping_Comptable[[#This Row],[Type de Dépense]])</f>
        <v>Autre/Impressions Editions</v>
      </c>
      <c r="H31" s="2" t="s">
        <v>159</v>
      </c>
      <c r="I31" s="2" t="s">
        <v>138</v>
      </c>
      <c r="K31" t="s">
        <v>160</v>
      </c>
      <c r="L31" t="s">
        <v>160</v>
      </c>
      <c r="M31" t="s">
        <v>160</v>
      </c>
      <c r="N31" t="s">
        <v>160</v>
      </c>
      <c r="R31" t="s">
        <v>160</v>
      </c>
      <c r="S31" t="s">
        <v>160</v>
      </c>
    </row>
    <row r="32" spans="1:21">
      <c r="A32" s="21" t="s">
        <v>41</v>
      </c>
      <c r="B32" t="s">
        <v>87</v>
      </c>
      <c r="C32" s="48">
        <v>46762560</v>
      </c>
      <c r="D32" s="49" t="s">
        <v>161</v>
      </c>
      <c r="E32" s="25" t="str">
        <f>CONCATENATE(Mapping_Comptable[[#This Row],[Evènement]],"/",Mapping_Comptable[[#This Row],[Type de Dépense]])</f>
        <v>Autre/Repas</v>
      </c>
      <c r="H32" s="2" t="s">
        <v>162</v>
      </c>
      <c r="I32" s="2" t="s">
        <v>138</v>
      </c>
      <c r="K32" t="s">
        <v>163</v>
      </c>
      <c r="L32" t="s">
        <v>163</v>
      </c>
      <c r="M32" t="s">
        <v>163</v>
      </c>
      <c r="N32" t="s">
        <v>163</v>
      </c>
      <c r="R32" t="s">
        <v>163</v>
      </c>
      <c r="S32" t="s">
        <v>163</v>
      </c>
    </row>
    <row r="33" spans="1:21">
      <c r="A33" s="21" t="s">
        <v>41</v>
      </c>
      <c r="B33" t="s">
        <v>92</v>
      </c>
      <c r="C33" s="48">
        <v>46762570</v>
      </c>
      <c r="D33" s="49" t="s">
        <v>154</v>
      </c>
      <c r="E33" s="25" t="str">
        <f>CONCATENATE(Mapping_Comptable[[#This Row],[Evènement]],"/",Mapping_Comptable[[#This Row],[Type de Dépense]])</f>
        <v>Autre/Taxi - Train - Avion - Péage - Parking</v>
      </c>
      <c r="H33" s="2" t="s">
        <v>164</v>
      </c>
      <c r="I33" s="2" t="s">
        <v>165</v>
      </c>
      <c r="K33" t="s">
        <v>166</v>
      </c>
      <c r="L33" t="s">
        <v>166</v>
      </c>
      <c r="M33" t="s">
        <v>166</v>
      </c>
      <c r="N33" t="s">
        <v>166</v>
      </c>
      <c r="R33" t="s">
        <v>166</v>
      </c>
      <c r="S33" t="s">
        <v>166</v>
      </c>
    </row>
    <row r="34" spans="1:21">
      <c r="A34" s="21" t="s">
        <v>41</v>
      </c>
      <c r="B34" t="s">
        <v>97</v>
      </c>
      <c r="C34" s="48">
        <v>46762570</v>
      </c>
      <c r="D34" s="49" t="s">
        <v>154</v>
      </c>
      <c r="E34" s="25" t="str">
        <f>CONCATENATE(Mapping_Comptable[[#This Row],[Evènement]],"/",Mapping_Comptable[[#This Row],[Type de Dépense]])</f>
        <v>Autre/Véhicule Personnel (trajet en Km Ecole/Salon)</v>
      </c>
      <c r="H34" s="2"/>
      <c r="I34" s="2"/>
      <c r="K34" t="s">
        <v>167</v>
      </c>
      <c r="L34" t="s">
        <v>167</v>
      </c>
      <c r="M34" t="s">
        <v>167</v>
      </c>
      <c r="N34" t="s">
        <v>167</v>
      </c>
      <c r="R34" t="s">
        <v>167</v>
      </c>
      <c r="S34" t="s">
        <v>167</v>
      </c>
    </row>
    <row r="35" spans="1:21">
      <c r="A35" s="21" t="s">
        <v>41</v>
      </c>
      <c r="B35" t="s">
        <v>119</v>
      </c>
      <c r="C35" s="48">
        <v>46762380</v>
      </c>
      <c r="D35" s="49" t="s">
        <v>168</v>
      </c>
      <c r="E35" s="25" t="str">
        <f>CONCATENATE(Mapping_Comptable[[#This Row],[Evènement]],"/",Mapping_Comptable[[#This Row],[Type de Dépense]])</f>
        <v>Autre/Veille Technologique (Colloque, revue, etc)</v>
      </c>
      <c r="H35" s="2"/>
      <c r="I35" s="2"/>
      <c r="K35" t="s">
        <v>169</v>
      </c>
      <c r="L35" t="s">
        <v>169</v>
      </c>
      <c r="M35" t="s">
        <v>169</v>
      </c>
      <c r="N35" t="s">
        <v>169</v>
      </c>
      <c r="R35" t="s">
        <v>169</v>
      </c>
      <c r="S35" t="s">
        <v>169</v>
      </c>
    </row>
    <row r="36" spans="1:21">
      <c r="A36" s="21" t="s">
        <v>41</v>
      </c>
      <c r="B36" t="s">
        <v>120</v>
      </c>
      <c r="C36" s="48">
        <v>46762510</v>
      </c>
      <c r="D36" s="49" t="s">
        <v>170</v>
      </c>
      <c r="E36" s="25" t="str">
        <f>CONCATENATE(Mapping_Comptable[[#This Row],[Evènement]],"/",Mapping_Comptable[[#This Row],[Type de Dépense]])</f>
        <v>Autre/Voyage et séminaire étudiants (HORS Salons, JPO, opération com)</v>
      </c>
      <c r="H36" s="2"/>
      <c r="I36" s="2"/>
      <c r="K36" t="s">
        <v>171</v>
      </c>
      <c r="L36" t="s">
        <v>171</v>
      </c>
      <c r="M36" t="s">
        <v>171</v>
      </c>
      <c r="N36" t="s">
        <v>171</v>
      </c>
      <c r="R36" t="s">
        <v>171</v>
      </c>
      <c r="S36" t="s">
        <v>171</v>
      </c>
    </row>
    <row r="37" spans="1:21">
      <c r="A37" s="21" t="s">
        <v>59</v>
      </c>
      <c r="B37" t="s">
        <v>80</v>
      </c>
      <c r="C37" s="48">
        <v>46761850</v>
      </c>
      <c r="D37" s="49" t="s">
        <v>172</v>
      </c>
      <c r="E37" s="25" t="str">
        <f>CONCATENATE(Mapping_Comptable[[#This Row],[Evènement]],"/",Mapping_Comptable[[#This Row],[Type de Dépense]])</f>
        <v>Séminaire interne/Hébergement</v>
      </c>
      <c r="H37" s="2"/>
      <c r="I37" s="2"/>
    </row>
    <row r="38" spans="1:21">
      <c r="A38" s="21" t="s">
        <v>59</v>
      </c>
      <c r="B38" t="s">
        <v>87</v>
      </c>
      <c r="C38" s="48">
        <v>46761850</v>
      </c>
      <c r="D38" s="49" t="s">
        <v>172</v>
      </c>
      <c r="E38" s="25" t="str">
        <f>CONCATENATE(Mapping_Comptable[[#This Row],[Evènement]],"/",Mapping_Comptable[[#This Row],[Type de Dépense]])</f>
        <v>Séminaire interne/Repas</v>
      </c>
      <c r="H38" s="2"/>
      <c r="I38" s="2"/>
    </row>
    <row r="39" spans="1:21">
      <c r="A39" s="21" t="s">
        <v>59</v>
      </c>
      <c r="B39" t="s">
        <v>92</v>
      </c>
      <c r="C39" s="48">
        <v>46761850</v>
      </c>
      <c r="D39" s="49" t="s">
        <v>172</v>
      </c>
      <c r="E39" s="25" t="str">
        <f>CONCATENATE(Mapping_Comptable[[#This Row],[Evènement]],"/",Mapping_Comptable[[#This Row],[Type de Dépense]])</f>
        <v>Séminaire interne/Taxi - Train - Avion - Péage - Parking</v>
      </c>
      <c r="H39" s="2"/>
      <c r="I39" s="2"/>
    </row>
    <row r="40" spans="1:21">
      <c r="A40" s="21" t="s">
        <v>59</v>
      </c>
      <c r="B40" t="s">
        <v>97</v>
      </c>
      <c r="C40" s="48">
        <v>46761850</v>
      </c>
      <c r="D40" s="49" t="s">
        <v>172</v>
      </c>
      <c r="E40" s="25" t="str">
        <f>CONCATENATE(Mapping_Comptable[[#This Row],[Evènement]],"/",Mapping_Comptable[[#This Row],[Type de Dépense]])</f>
        <v>Séminaire interne/Véhicule Personnel (trajet en Km Ecole/Salon)</v>
      </c>
      <c r="H40" s="2"/>
      <c r="I40" s="2"/>
    </row>
    <row r="41" spans="1:21">
      <c r="A41" s="21" t="s">
        <v>59</v>
      </c>
      <c r="B41" t="s">
        <v>41</v>
      </c>
      <c r="C41" s="48">
        <v>46761850</v>
      </c>
      <c r="D41" s="49" t="s">
        <v>172</v>
      </c>
      <c r="E41" s="25" t="str">
        <f>CONCATENATE(Mapping_Comptable[[#This Row],[Evènement]],"/",Mapping_Comptable[[#This Row],[Type de Dépense]])</f>
        <v>Séminaire interne/Autre</v>
      </c>
      <c r="H41" s="2"/>
      <c r="I41" s="2"/>
    </row>
    <row r="42" spans="1:21">
      <c r="A42" s="21" t="s">
        <v>60</v>
      </c>
      <c r="B42" t="s">
        <v>80</v>
      </c>
      <c r="C42" s="48">
        <v>46762339</v>
      </c>
      <c r="D42" s="49" t="s">
        <v>173</v>
      </c>
      <c r="E42" s="25" t="str">
        <f>CONCATENATE(Mapping_Comptable[[#This Row],[Evènement]],"/",Mapping_Comptable[[#This Row],[Type de Dépense]])</f>
        <v>JPO-Visite Lycée-Session découverte/Hébergement</v>
      </c>
      <c r="H42" s="2"/>
      <c r="I42" s="2"/>
    </row>
    <row r="43" spans="1:21">
      <c r="A43" s="21" t="s">
        <v>60</v>
      </c>
      <c r="B43" t="s">
        <v>87</v>
      </c>
      <c r="C43" s="48">
        <v>46762339</v>
      </c>
      <c r="D43" s="49" t="s">
        <v>173</v>
      </c>
      <c r="E43" s="25" t="str">
        <f>CONCATENATE(Mapping_Comptable[[#This Row],[Evènement]],"/",Mapping_Comptable[[#This Row],[Type de Dépense]])</f>
        <v>JPO-Visite Lycée-Session découverte/Repas</v>
      </c>
    </row>
    <row r="44" spans="1:21">
      <c r="A44" s="21" t="s">
        <v>60</v>
      </c>
      <c r="B44" t="s">
        <v>92</v>
      </c>
      <c r="C44" s="48">
        <v>46762339</v>
      </c>
      <c r="D44" s="49" t="s">
        <v>173</v>
      </c>
      <c r="E44" s="25" t="str">
        <f>CONCATENATE(Mapping_Comptable[[#This Row],[Evènement]],"/",Mapping_Comptable[[#This Row],[Type de Dépense]])</f>
        <v>JPO-Visite Lycée-Session découverte/Taxi - Train - Avion - Péage - Parking</v>
      </c>
      <c r="K44" t="s">
        <v>24</v>
      </c>
      <c r="L44" t="s">
        <v>73</v>
      </c>
      <c r="M44" t="s">
        <v>76</v>
      </c>
      <c r="N44" t="s">
        <v>84</v>
      </c>
      <c r="O44" t="s">
        <v>91</v>
      </c>
      <c r="P44" t="s">
        <v>95</v>
      </c>
      <c r="Q44" t="s">
        <v>101</v>
      </c>
      <c r="R44" t="s">
        <v>105</v>
      </c>
      <c r="S44" t="s">
        <v>109</v>
      </c>
      <c r="T44" t="s">
        <v>111</v>
      </c>
      <c r="U44" t="s">
        <v>113</v>
      </c>
    </row>
    <row r="45" spans="1:21">
      <c r="A45" s="21" t="s">
        <v>60</v>
      </c>
      <c r="B45" t="s">
        <v>97</v>
      </c>
      <c r="C45" s="48">
        <v>46762339</v>
      </c>
      <c r="D45" s="49" t="s">
        <v>173</v>
      </c>
      <c r="E45" s="25" t="str">
        <f>CONCATENATE(Mapping_Comptable[[#This Row],[Evènement]],"/",Mapping_Comptable[[#This Row],[Type de Dépense]])</f>
        <v>JPO-Visite Lycée-Session découverte/Véhicule Personnel (trajet en Km Ecole/Salon)</v>
      </c>
    </row>
    <row r="46" spans="1:21">
      <c r="A46" s="21" t="s">
        <v>60</v>
      </c>
      <c r="B46" t="s">
        <v>41</v>
      </c>
      <c r="C46" s="48">
        <v>46762332</v>
      </c>
      <c r="D46" s="49" t="s">
        <v>174</v>
      </c>
      <c r="E46" s="25" t="str">
        <f>CONCATENATE(Mapping_Comptable[[#This Row],[Evènement]],"/",Mapping_Comptable[[#This Row],[Type de Dépense]])</f>
        <v>JPO-Visite Lycée-Session découverte/Autre</v>
      </c>
      <c r="K46" t="s">
        <v>129</v>
      </c>
      <c r="L46" t="s">
        <v>175</v>
      </c>
      <c r="M46" t="s">
        <v>176</v>
      </c>
      <c r="N46" t="s">
        <v>177</v>
      </c>
      <c r="O46" t="s">
        <v>178</v>
      </c>
      <c r="P46" t="s">
        <v>179</v>
      </c>
      <c r="Q46" t="s">
        <v>180</v>
      </c>
      <c r="R46" t="s">
        <v>181</v>
      </c>
      <c r="S46" t="s">
        <v>182</v>
      </c>
      <c r="U46" t="s">
        <v>183</v>
      </c>
    </row>
    <row r="47" spans="1:21">
      <c r="A47" s="21" t="s">
        <v>61</v>
      </c>
      <c r="B47" t="s">
        <v>80</v>
      </c>
      <c r="C47" s="48">
        <v>46762337</v>
      </c>
      <c r="D47" s="49" t="s">
        <v>184</v>
      </c>
      <c r="E47" s="25" t="str">
        <f>CONCATENATE(Mapping_Comptable[[#This Row],[Evènement]],"/",Mapping_Comptable[[#This Row],[Type de Dépense]])</f>
        <v>Salons/Hébergement</v>
      </c>
      <c r="K47" t="s">
        <v>13</v>
      </c>
      <c r="L47" t="s">
        <v>156</v>
      </c>
      <c r="M47" t="s">
        <v>52</v>
      </c>
      <c r="N47" t="s">
        <v>185</v>
      </c>
      <c r="R47" t="s">
        <v>186</v>
      </c>
      <c r="S47" t="s">
        <v>187</v>
      </c>
      <c r="T47" t="s">
        <v>188</v>
      </c>
    </row>
    <row r="48" spans="1:21">
      <c r="A48" s="21" t="s">
        <v>61</v>
      </c>
      <c r="B48" t="s">
        <v>87</v>
      </c>
      <c r="C48" s="48">
        <v>46762337</v>
      </c>
      <c r="D48" s="49" t="s">
        <v>184</v>
      </c>
      <c r="E48" s="25" t="str">
        <f>CONCATENATE(Mapping_Comptable[[#This Row],[Evènement]],"/",Mapping_Comptable[[#This Row],[Type de Dépense]])</f>
        <v>Salons/Repas</v>
      </c>
      <c r="K48" t="s">
        <v>136</v>
      </c>
      <c r="L48" t="s">
        <v>189</v>
      </c>
      <c r="M48" t="s">
        <v>190</v>
      </c>
      <c r="N48" t="s">
        <v>191</v>
      </c>
      <c r="R48" t="s">
        <v>192</v>
      </c>
      <c r="S48" t="s">
        <v>193</v>
      </c>
    </row>
    <row r="49" spans="1:19">
      <c r="A49" s="21" t="s">
        <v>61</v>
      </c>
      <c r="B49" t="s">
        <v>92</v>
      </c>
      <c r="C49" s="48">
        <v>46762337</v>
      </c>
      <c r="D49" s="49" t="s">
        <v>184</v>
      </c>
      <c r="E49" s="25" t="str">
        <f>CONCATENATE(Mapping_Comptable[[#This Row],[Evènement]],"/",Mapping_Comptable[[#This Row],[Type de Dépense]])</f>
        <v>Salons/Taxi - Train - Avion - Péage - Parking</v>
      </c>
      <c r="K49" t="s">
        <v>139</v>
      </c>
      <c r="L49" t="s">
        <v>194</v>
      </c>
      <c r="M49" t="s">
        <v>195</v>
      </c>
      <c r="N49" t="s">
        <v>196</v>
      </c>
      <c r="R49" t="s">
        <v>197</v>
      </c>
      <c r="S49" t="s">
        <v>198</v>
      </c>
    </row>
    <row r="50" spans="1:19">
      <c r="A50" s="21" t="s">
        <v>61</v>
      </c>
      <c r="B50" t="s">
        <v>97</v>
      </c>
      <c r="C50" s="48">
        <v>46762337</v>
      </c>
      <c r="D50" s="49" t="s">
        <v>184</v>
      </c>
      <c r="E50" s="25" t="str">
        <f>CONCATENATE(Mapping_Comptable[[#This Row],[Evènement]],"/",Mapping_Comptable[[#This Row],[Type de Dépense]])</f>
        <v>Salons/Véhicule Personnel (trajet en Km Ecole/Salon)</v>
      </c>
      <c r="K50" t="s">
        <v>143</v>
      </c>
      <c r="L50" t="s">
        <v>199</v>
      </c>
      <c r="M50" t="s">
        <v>200</v>
      </c>
      <c r="N50" t="s">
        <v>201</v>
      </c>
      <c r="R50" t="s">
        <v>202</v>
      </c>
      <c r="S50" t="s">
        <v>203</v>
      </c>
    </row>
    <row r="51" spans="1:19">
      <c r="A51" s="21" t="s">
        <v>61</v>
      </c>
      <c r="B51" t="s">
        <v>41</v>
      </c>
      <c r="C51" s="48">
        <v>46762337</v>
      </c>
      <c r="D51" s="49" t="s">
        <v>184</v>
      </c>
      <c r="E51" s="25" t="str">
        <f>CONCATENATE(Mapping_Comptable[[#This Row],[Evènement]],"/",Mapping_Comptable[[#This Row],[Type de Dépense]])</f>
        <v>Salons/Autre</v>
      </c>
      <c r="K51" t="s">
        <v>147</v>
      </c>
      <c r="L51" t="s">
        <v>204</v>
      </c>
      <c r="M51" t="s">
        <v>205</v>
      </c>
      <c r="N51" t="s">
        <v>206</v>
      </c>
      <c r="R51" t="s">
        <v>207</v>
      </c>
      <c r="S51" t="s">
        <v>208</v>
      </c>
    </row>
    <row r="52" spans="1:19">
      <c r="A52" s="21" t="s">
        <v>62</v>
      </c>
      <c r="B52" t="s">
        <v>80</v>
      </c>
      <c r="C52" s="48">
        <v>46762333</v>
      </c>
      <c r="D52" s="49" t="s">
        <v>209</v>
      </c>
      <c r="E52" s="25" t="str">
        <f>CONCATENATE(Mapping_Comptable[[#This Row],[Evènement]],"/",Mapping_Comptable[[#This Row],[Type de Dépense]])</f>
        <v>Communication événementielle/Hébergement</v>
      </c>
      <c r="K52" t="s">
        <v>150</v>
      </c>
      <c r="L52" t="s">
        <v>210</v>
      </c>
      <c r="M52" t="s">
        <v>211</v>
      </c>
      <c r="N52" t="s">
        <v>212</v>
      </c>
      <c r="R52" t="s">
        <v>213</v>
      </c>
      <c r="S52" t="s">
        <v>214</v>
      </c>
    </row>
    <row r="53" spans="1:19">
      <c r="A53" s="21" t="s">
        <v>62</v>
      </c>
      <c r="B53" t="s">
        <v>87</v>
      </c>
      <c r="C53" s="48">
        <v>46762333</v>
      </c>
      <c r="D53" s="49" t="s">
        <v>209</v>
      </c>
      <c r="E53" s="25" t="str">
        <f>CONCATENATE(Mapping_Comptable[[#This Row],[Evènement]],"/",Mapping_Comptable[[#This Row],[Type de Dépense]])</f>
        <v>Communication événementielle/Repas</v>
      </c>
      <c r="K53" t="s">
        <v>153</v>
      </c>
      <c r="L53" t="s">
        <v>215</v>
      </c>
      <c r="M53" t="s">
        <v>216</v>
      </c>
      <c r="N53" t="s">
        <v>217</v>
      </c>
      <c r="R53" t="s">
        <v>218</v>
      </c>
      <c r="S53" t="s">
        <v>219</v>
      </c>
    </row>
    <row r="54" spans="1:19">
      <c r="A54" s="21" t="s">
        <v>62</v>
      </c>
      <c r="B54" t="s">
        <v>92</v>
      </c>
      <c r="C54" s="48">
        <v>46762333</v>
      </c>
      <c r="D54" s="49" t="s">
        <v>209</v>
      </c>
      <c r="E54" s="25" t="str">
        <f>CONCATENATE(Mapping_Comptable[[#This Row],[Evènement]],"/",Mapping_Comptable[[#This Row],[Type de Dépense]])</f>
        <v>Communication événementielle/Taxi - Train - Avion - Péage - Parking</v>
      </c>
      <c r="K54" t="s">
        <v>157</v>
      </c>
      <c r="L54" t="s">
        <v>220</v>
      </c>
      <c r="M54" t="s">
        <v>221</v>
      </c>
      <c r="N54" t="s">
        <v>222</v>
      </c>
    </row>
    <row r="55" spans="1:19">
      <c r="A55" s="21" t="s">
        <v>62</v>
      </c>
      <c r="B55" t="s">
        <v>97</v>
      </c>
      <c r="C55" s="48">
        <v>46762333</v>
      </c>
      <c r="D55" s="49" t="s">
        <v>209</v>
      </c>
      <c r="E55" s="25" t="str">
        <f>CONCATENATE(Mapping_Comptable[[#This Row],[Evènement]],"/",Mapping_Comptable[[#This Row],[Type de Dépense]])</f>
        <v>Communication événementielle/Véhicule Personnel (trajet en Km Ecole/Salon)</v>
      </c>
      <c r="K55" t="s">
        <v>160</v>
      </c>
      <c r="L55" t="s">
        <v>223</v>
      </c>
      <c r="M55" t="s">
        <v>224</v>
      </c>
      <c r="N55" t="s">
        <v>225</v>
      </c>
      <c r="R55" t="s">
        <v>226</v>
      </c>
      <c r="S55" t="s">
        <v>227</v>
      </c>
    </row>
    <row r="56" spans="1:19" ht="15" thickBot="1">
      <c r="A56" s="22" t="s">
        <v>62</v>
      </c>
      <c r="B56" s="26" t="s">
        <v>41</v>
      </c>
      <c r="C56" s="50">
        <v>46762333</v>
      </c>
      <c r="D56" s="51" t="s">
        <v>209</v>
      </c>
      <c r="E56" s="27" t="str">
        <f>CONCATENATE(Mapping_Comptable[[#This Row],[Evènement]],"/",Mapping_Comptable[[#This Row],[Type de Dépense]])</f>
        <v>Communication événementielle/Autre</v>
      </c>
      <c r="K56" t="s">
        <v>163</v>
      </c>
      <c r="L56" t="s">
        <v>228</v>
      </c>
      <c r="M56" t="s">
        <v>229</v>
      </c>
      <c r="N56" t="s">
        <v>230</v>
      </c>
      <c r="R56" t="s">
        <v>231</v>
      </c>
      <c r="S56" t="s">
        <v>232</v>
      </c>
    </row>
    <row r="57" spans="1:19">
      <c r="K57" t="s">
        <v>166</v>
      </c>
      <c r="L57" t="s">
        <v>233</v>
      </c>
      <c r="M57" t="s">
        <v>234</v>
      </c>
      <c r="N57" t="s">
        <v>235</v>
      </c>
      <c r="R57" t="s">
        <v>236</v>
      </c>
      <c r="S57" t="s">
        <v>237</v>
      </c>
    </row>
    <row r="58" spans="1:19">
      <c r="K58" t="s">
        <v>167</v>
      </c>
      <c r="L58" t="s">
        <v>238</v>
      </c>
      <c r="M58" t="s">
        <v>239</v>
      </c>
      <c r="N58" t="s">
        <v>240</v>
      </c>
      <c r="R58" t="s">
        <v>241</v>
      </c>
      <c r="S58" t="s">
        <v>242</v>
      </c>
    </row>
    <row r="59" spans="1:19">
      <c r="K59" t="s">
        <v>169</v>
      </c>
      <c r="L59" t="s">
        <v>243</v>
      </c>
      <c r="M59" t="s">
        <v>244</v>
      </c>
      <c r="N59" t="s">
        <v>245</v>
      </c>
      <c r="R59" t="s">
        <v>246</v>
      </c>
      <c r="S59" t="s">
        <v>247</v>
      </c>
    </row>
    <row r="60" spans="1:19">
      <c r="K60" t="s">
        <v>171</v>
      </c>
      <c r="L60" t="s">
        <v>248</v>
      </c>
      <c r="M60" t="s">
        <v>249</v>
      </c>
      <c r="N60" t="s">
        <v>250</v>
      </c>
      <c r="R60" t="s">
        <v>251</v>
      </c>
      <c r="S60" t="s">
        <v>252</v>
      </c>
    </row>
    <row r="63" spans="1:19">
      <c r="I63" t="s">
        <v>72</v>
      </c>
    </row>
    <row r="64" spans="1:19">
      <c r="I64" t="s">
        <v>11</v>
      </c>
    </row>
    <row r="65" spans="9:13">
      <c r="I65" t="s">
        <v>83</v>
      </c>
    </row>
    <row r="66" spans="9:13">
      <c r="I66" t="s">
        <v>90</v>
      </c>
    </row>
    <row r="67" spans="9:13">
      <c r="I67" t="s">
        <v>95</v>
      </c>
    </row>
    <row r="68" spans="9:13">
      <c r="I68" t="s">
        <v>100</v>
      </c>
    </row>
    <row r="69" spans="9:13">
      <c r="I69" t="s">
        <v>105</v>
      </c>
    </row>
    <row r="70" spans="9:13">
      <c r="I70" t="s">
        <v>109</v>
      </c>
    </row>
    <row r="71" spans="9:13">
      <c r="I71" t="s">
        <v>111</v>
      </c>
    </row>
    <row r="72" spans="9:13">
      <c r="I72" t="s">
        <v>112</v>
      </c>
    </row>
    <row r="73" spans="9:13">
      <c r="J73" s="38" t="s">
        <v>253</v>
      </c>
      <c r="K73" s="38" t="s">
        <v>24</v>
      </c>
      <c r="L73" s="38" t="s">
        <v>254</v>
      </c>
      <c r="M73" s="38" t="s">
        <v>255</v>
      </c>
    </row>
    <row r="74" spans="9:13">
      <c r="J74" t="s">
        <v>72</v>
      </c>
      <c r="K74" t="s">
        <v>129</v>
      </c>
      <c r="L74" t="str">
        <f>J74&amp;K74</f>
        <v>Tous programmeNATIONAL</v>
      </c>
      <c r="M74" t="s">
        <v>175</v>
      </c>
    </row>
    <row r="75" spans="9:13">
      <c r="J75" t="s">
        <v>72</v>
      </c>
      <c r="K75" t="s">
        <v>13</v>
      </c>
      <c r="L75" t="str">
        <f t="shared" ref="L75:L138" si="0">J75&amp;K75</f>
        <v>Tous programmePARIS et RP</v>
      </c>
      <c r="M75" t="s">
        <v>156</v>
      </c>
    </row>
    <row r="76" spans="9:13">
      <c r="J76" t="s">
        <v>72</v>
      </c>
      <c r="K76" t="s">
        <v>136</v>
      </c>
      <c r="L76" t="str">
        <f t="shared" si="0"/>
        <v>Tous programmeBORDEAUX</v>
      </c>
      <c r="M76" t="s">
        <v>189</v>
      </c>
    </row>
    <row r="77" spans="9:13">
      <c r="J77" t="s">
        <v>72</v>
      </c>
      <c r="K77" t="s">
        <v>139</v>
      </c>
      <c r="L77" t="str">
        <f t="shared" si="0"/>
        <v>Tous programmeLA REUNION</v>
      </c>
      <c r="M77" t="s">
        <v>194</v>
      </c>
    </row>
    <row r="78" spans="9:13">
      <c r="J78" t="s">
        <v>72</v>
      </c>
      <c r="K78" t="s">
        <v>143</v>
      </c>
      <c r="L78" t="str">
        <f t="shared" si="0"/>
        <v>Tous programmeLILLE</v>
      </c>
      <c r="M78" t="s">
        <v>199</v>
      </c>
    </row>
    <row r="79" spans="9:13">
      <c r="J79" t="s">
        <v>72</v>
      </c>
      <c r="K79" t="s">
        <v>147</v>
      </c>
      <c r="L79" t="str">
        <f t="shared" si="0"/>
        <v>Tous programmeLYON</v>
      </c>
      <c r="M79" t="s">
        <v>204</v>
      </c>
    </row>
    <row r="80" spans="9:13">
      <c r="J80" t="s">
        <v>72</v>
      </c>
      <c r="K80" t="s">
        <v>150</v>
      </c>
      <c r="L80" t="str">
        <f t="shared" si="0"/>
        <v>Tous programmeMARSEILLE</v>
      </c>
      <c r="M80" t="s">
        <v>210</v>
      </c>
    </row>
    <row r="81" spans="10:13">
      <c r="J81" t="s">
        <v>72</v>
      </c>
      <c r="K81" t="s">
        <v>153</v>
      </c>
      <c r="L81" t="str">
        <f t="shared" si="0"/>
        <v>Tous programmeMONTPELLIER</v>
      </c>
      <c r="M81" t="s">
        <v>215</v>
      </c>
    </row>
    <row r="82" spans="10:13">
      <c r="J82" t="s">
        <v>72</v>
      </c>
      <c r="K82" t="s">
        <v>157</v>
      </c>
      <c r="L82" t="str">
        <f t="shared" si="0"/>
        <v>Tous programmeMULHOUSE</v>
      </c>
      <c r="M82" t="s">
        <v>220</v>
      </c>
    </row>
    <row r="83" spans="10:13">
      <c r="J83" t="s">
        <v>72</v>
      </c>
      <c r="K83" t="s">
        <v>160</v>
      </c>
      <c r="L83" t="str">
        <f t="shared" si="0"/>
        <v>Tous programmeNANCY</v>
      </c>
      <c r="M83" t="s">
        <v>223</v>
      </c>
    </row>
    <row r="84" spans="10:13">
      <c r="J84" t="s">
        <v>72</v>
      </c>
      <c r="K84" t="s">
        <v>163</v>
      </c>
      <c r="L84" t="str">
        <f t="shared" si="0"/>
        <v>Tous programmeNANTES</v>
      </c>
      <c r="M84" t="s">
        <v>228</v>
      </c>
    </row>
    <row r="85" spans="10:13">
      <c r="J85" t="s">
        <v>72</v>
      </c>
      <c r="K85" t="s">
        <v>166</v>
      </c>
      <c r="L85" t="str">
        <f t="shared" si="0"/>
        <v>Tous programmeNICE</v>
      </c>
      <c r="M85" t="s">
        <v>233</v>
      </c>
    </row>
    <row r="86" spans="10:13">
      <c r="J86" t="s">
        <v>72</v>
      </c>
      <c r="K86" t="s">
        <v>167</v>
      </c>
      <c r="L86" t="str">
        <f t="shared" si="0"/>
        <v>Tous programmeRENNES</v>
      </c>
      <c r="M86" t="s">
        <v>238</v>
      </c>
    </row>
    <row r="87" spans="10:13">
      <c r="J87" t="s">
        <v>72</v>
      </c>
      <c r="K87" t="s">
        <v>169</v>
      </c>
      <c r="L87" t="str">
        <f t="shared" si="0"/>
        <v>Tous programmeSTRASBOURG</v>
      </c>
      <c r="M87" t="s">
        <v>243</v>
      </c>
    </row>
    <row r="88" spans="10:13">
      <c r="J88" t="s">
        <v>72</v>
      </c>
      <c r="K88" t="s">
        <v>171</v>
      </c>
      <c r="L88" t="str">
        <f t="shared" si="0"/>
        <v>Tous programmeTOULOUSE</v>
      </c>
      <c r="M88" t="s">
        <v>248</v>
      </c>
    </row>
    <row r="89" spans="10:13">
      <c r="J89" t="s">
        <v>11</v>
      </c>
      <c r="K89" t="s">
        <v>129</v>
      </c>
      <c r="L89" t="str">
        <f t="shared" si="0"/>
        <v>EPITECH ITNATIONAL</v>
      </c>
      <c r="M89" t="s">
        <v>176</v>
      </c>
    </row>
    <row r="90" spans="10:13">
      <c r="J90" t="s">
        <v>11</v>
      </c>
      <c r="K90" t="s">
        <v>13</v>
      </c>
      <c r="L90" t="str">
        <f t="shared" si="0"/>
        <v>EPITECH ITPARIS et RP</v>
      </c>
      <c r="M90" t="s">
        <v>52</v>
      </c>
    </row>
    <row r="91" spans="10:13">
      <c r="J91" t="s">
        <v>11</v>
      </c>
      <c r="K91" t="s">
        <v>136</v>
      </c>
      <c r="L91" t="str">
        <f t="shared" si="0"/>
        <v>EPITECH ITBORDEAUX</v>
      </c>
      <c r="M91" t="s">
        <v>190</v>
      </c>
    </row>
    <row r="92" spans="10:13">
      <c r="J92" t="s">
        <v>11</v>
      </c>
      <c r="K92" t="s">
        <v>139</v>
      </c>
      <c r="L92" t="str">
        <f t="shared" si="0"/>
        <v>EPITECH ITLA REUNION</v>
      </c>
      <c r="M92" t="s">
        <v>195</v>
      </c>
    </row>
    <row r="93" spans="10:13">
      <c r="J93" t="s">
        <v>11</v>
      </c>
      <c r="K93" t="s">
        <v>143</v>
      </c>
      <c r="L93" t="str">
        <f t="shared" si="0"/>
        <v>EPITECH ITLILLE</v>
      </c>
      <c r="M93" t="s">
        <v>200</v>
      </c>
    </row>
    <row r="94" spans="10:13">
      <c r="J94" t="s">
        <v>11</v>
      </c>
      <c r="K94" t="s">
        <v>147</v>
      </c>
      <c r="L94" t="str">
        <f t="shared" si="0"/>
        <v>EPITECH ITLYON</v>
      </c>
      <c r="M94" t="s">
        <v>205</v>
      </c>
    </row>
    <row r="95" spans="10:13">
      <c r="J95" t="s">
        <v>11</v>
      </c>
      <c r="K95" t="s">
        <v>150</v>
      </c>
      <c r="L95" t="str">
        <f t="shared" si="0"/>
        <v>EPITECH ITMARSEILLE</v>
      </c>
      <c r="M95" t="s">
        <v>211</v>
      </c>
    </row>
    <row r="96" spans="10:13">
      <c r="J96" t="s">
        <v>11</v>
      </c>
      <c r="K96" t="s">
        <v>153</v>
      </c>
      <c r="L96" t="str">
        <f t="shared" si="0"/>
        <v>EPITECH ITMONTPELLIER</v>
      </c>
      <c r="M96" t="s">
        <v>216</v>
      </c>
    </row>
    <row r="97" spans="10:13">
      <c r="J97" t="s">
        <v>11</v>
      </c>
      <c r="K97" t="s">
        <v>157</v>
      </c>
      <c r="L97" t="str">
        <f t="shared" si="0"/>
        <v>EPITECH ITMULHOUSE</v>
      </c>
      <c r="M97" t="s">
        <v>221</v>
      </c>
    </row>
    <row r="98" spans="10:13">
      <c r="J98" t="s">
        <v>11</v>
      </c>
      <c r="K98" t="s">
        <v>160</v>
      </c>
      <c r="L98" t="str">
        <f t="shared" si="0"/>
        <v>EPITECH ITNANCY</v>
      </c>
      <c r="M98" t="s">
        <v>224</v>
      </c>
    </row>
    <row r="99" spans="10:13">
      <c r="J99" t="s">
        <v>11</v>
      </c>
      <c r="K99" t="s">
        <v>163</v>
      </c>
      <c r="L99" t="str">
        <f t="shared" si="0"/>
        <v>EPITECH ITNANTES</v>
      </c>
      <c r="M99" t="s">
        <v>229</v>
      </c>
    </row>
    <row r="100" spans="10:13">
      <c r="J100" t="s">
        <v>11</v>
      </c>
      <c r="K100" t="s">
        <v>166</v>
      </c>
      <c r="L100" t="str">
        <f t="shared" si="0"/>
        <v>EPITECH ITNICE</v>
      </c>
      <c r="M100" t="s">
        <v>234</v>
      </c>
    </row>
    <row r="101" spans="10:13">
      <c r="J101" t="s">
        <v>11</v>
      </c>
      <c r="K101" t="s">
        <v>167</v>
      </c>
      <c r="L101" t="str">
        <f t="shared" si="0"/>
        <v>EPITECH ITRENNES</v>
      </c>
      <c r="M101" t="s">
        <v>239</v>
      </c>
    </row>
    <row r="102" spans="10:13">
      <c r="J102" t="s">
        <v>11</v>
      </c>
      <c r="K102" t="s">
        <v>169</v>
      </c>
      <c r="L102" t="str">
        <f t="shared" si="0"/>
        <v>EPITECH ITSTRASBOURG</v>
      </c>
      <c r="M102" t="s">
        <v>244</v>
      </c>
    </row>
    <row r="103" spans="10:13">
      <c r="J103" t="s">
        <v>11</v>
      </c>
      <c r="K103" t="s">
        <v>171</v>
      </c>
      <c r="L103" t="str">
        <f t="shared" si="0"/>
        <v>EPITECH ITTOULOUSE</v>
      </c>
      <c r="M103" t="s">
        <v>249</v>
      </c>
    </row>
    <row r="104" spans="10:13">
      <c r="J104" t="s">
        <v>83</v>
      </c>
      <c r="K104" t="s">
        <v>129</v>
      </c>
      <c r="L104" t="str">
        <f t="shared" si="0"/>
        <v>EPITECH DIGITALNATIONAL</v>
      </c>
      <c r="M104" t="s">
        <v>177</v>
      </c>
    </row>
    <row r="105" spans="10:13">
      <c r="J105" t="s">
        <v>83</v>
      </c>
      <c r="K105" t="s">
        <v>13</v>
      </c>
      <c r="L105" t="str">
        <f t="shared" si="0"/>
        <v>EPITECH DIGITALPARIS et RP</v>
      </c>
      <c r="M105" t="s">
        <v>185</v>
      </c>
    </row>
    <row r="106" spans="10:13">
      <c r="J106" t="s">
        <v>83</v>
      </c>
      <c r="K106" t="s">
        <v>136</v>
      </c>
      <c r="L106" t="str">
        <f t="shared" si="0"/>
        <v>EPITECH DIGITALBORDEAUX</v>
      </c>
      <c r="M106" t="s">
        <v>191</v>
      </c>
    </row>
    <row r="107" spans="10:13">
      <c r="J107" t="s">
        <v>83</v>
      </c>
      <c r="K107" t="s">
        <v>139</v>
      </c>
      <c r="L107" t="str">
        <f t="shared" si="0"/>
        <v>EPITECH DIGITALLA REUNION</v>
      </c>
      <c r="M107" t="s">
        <v>196</v>
      </c>
    </row>
    <row r="108" spans="10:13">
      <c r="J108" t="s">
        <v>83</v>
      </c>
      <c r="K108" t="s">
        <v>143</v>
      </c>
      <c r="L108" t="str">
        <f t="shared" si="0"/>
        <v>EPITECH DIGITALLILLE</v>
      </c>
      <c r="M108" t="s">
        <v>201</v>
      </c>
    </row>
    <row r="109" spans="10:13">
      <c r="J109" t="s">
        <v>83</v>
      </c>
      <c r="K109" t="s">
        <v>147</v>
      </c>
      <c r="L109" t="str">
        <f t="shared" si="0"/>
        <v>EPITECH DIGITALLYON</v>
      </c>
      <c r="M109" t="s">
        <v>206</v>
      </c>
    </row>
    <row r="110" spans="10:13">
      <c r="J110" t="s">
        <v>83</v>
      </c>
      <c r="K110" t="s">
        <v>150</v>
      </c>
      <c r="L110" t="str">
        <f t="shared" si="0"/>
        <v>EPITECH DIGITALMARSEILLE</v>
      </c>
      <c r="M110" t="s">
        <v>212</v>
      </c>
    </row>
    <row r="111" spans="10:13">
      <c r="J111" t="s">
        <v>83</v>
      </c>
      <c r="K111" t="s">
        <v>153</v>
      </c>
      <c r="L111" t="str">
        <f t="shared" si="0"/>
        <v>EPITECH DIGITALMONTPELLIER</v>
      </c>
      <c r="M111" t="s">
        <v>217</v>
      </c>
    </row>
    <row r="112" spans="10:13">
      <c r="J112" t="s">
        <v>83</v>
      </c>
      <c r="K112" t="s">
        <v>157</v>
      </c>
      <c r="L112" t="str">
        <f t="shared" si="0"/>
        <v>EPITECH DIGITALMULHOUSE</v>
      </c>
      <c r="M112" t="s">
        <v>222</v>
      </c>
    </row>
    <row r="113" spans="10:13">
      <c r="J113" t="s">
        <v>83</v>
      </c>
      <c r="K113" t="s">
        <v>160</v>
      </c>
      <c r="L113" t="str">
        <f t="shared" si="0"/>
        <v>EPITECH DIGITALNANCY</v>
      </c>
      <c r="M113" t="s">
        <v>225</v>
      </c>
    </row>
    <row r="114" spans="10:13">
      <c r="J114" t="s">
        <v>83</v>
      </c>
      <c r="K114" t="s">
        <v>163</v>
      </c>
      <c r="L114" t="str">
        <f t="shared" si="0"/>
        <v>EPITECH DIGITALNANTES</v>
      </c>
      <c r="M114" t="s">
        <v>230</v>
      </c>
    </row>
    <row r="115" spans="10:13">
      <c r="J115" t="s">
        <v>83</v>
      </c>
      <c r="K115" t="s">
        <v>166</v>
      </c>
      <c r="L115" t="str">
        <f t="shared" si="0"/>
        <v>EPITECH DIGITALNICE</v>
      </c>
      <c r="M115" t="s">
        <v>235</v>
      </c>
    </row>
    <row r="116" spans="10:13">
      <c r="J116" t="s">
        <v>83</v>
      </c>
      <c r="K116" t="s">
        <v>167</v>
      </c>
      <c r="L116" t="str">
        <f t="shared" si="0"/>
        <v>EPITECH DIGITALRENNES</v>
      </c>
      <c r="M116" t="s">
        <v>240</v>
      </c>
    </row>
    <row r="117" spans="10:13">
      <c r="J117" t="s">
        <v>83</v>
      </c>
      <c r="K117" t="s">
        <v>169</v>
      </c>
      <c r="L117" t="str">
        <f t="shared" si="0"/>
        <v>EPITECH DIGITALSTRASBOURG</v>
      </c>
      <c r="M117" t="s">
        <v>245</v>
      </c>
    </row>
    <row r="118" spans="10:13">
      <c r="J118" t="s">
        <v>83</v>
      </c>
      <c r="K118" t="s">
        <v>171</v>
      </c>
      <c r="L118" t="str">
        <f t="shared" si="0"/>
        <v>EPITECH DIGITALTOULOUSE</v>
      </c>
      <c r="M118" t="s">
        <v>250</v>
      </c>
    </row>
    <row r="119" spans="10:13">
      <c r="J119" t="s">
        <v>90</v>
      </c>
      <c r="K119" t="s">
        <v>129</v>
      </c>
      <c r="L119" t="str">
        <f t="shared" si="0"/>
        <v>Relations InternationalesNATIONAL</v>
      </c>
      <c r="M119" t="s">
        <v>178</v>
      </c>
    </row>
    <row r="120" spans="10:13">
      <c r="J120" t="s">
        <v>90</v>
      </c>
      <c r="K120" t="s">
        <v>13</v>
      </c>
      <c r="L120" t="str">
        <f t="shared" si="0"/>
        <v>Relations InternationalesPARIS et RP</v>
      </c>
    </row>
    <row r="121" spans="10:13">
      <c r="J121" t="s">
        <v>90</v>
      </c>
      <c r="K121" t="s">
        <v>136</v>
      </c>
      <c r="L121" t="str">
        <f t="shared" si="0"/>
        <v>Relations InternationalesBORDEAUX</v>
      </c>
    </row>
    <row r="122" spans="10:13">
      <c r="J122" t="s">
        <v>90</v>
      </c>
      <c r="K122" t="s">
        <v>139</v>
      </c>
      <c r="L122" t="str">
        <f t="shared" si="0"/>
        <v>Relations InternationalesLA REUNION</v>
      </c>
    </row>
    <row r="123" spans="10:13">
      <c r="J123" t="s">
        <v>90</v>
      </c>
      <c r="K123" t="s">
        <v>143</v>
      </c>
      <c r="L123" t="str">
        <f t="shared" si="0"/>
        <v>Relations InternationalesLILLE</v>
      </c>
    </row>
    <row r="124" spans="10:13">
      <c r="J124" t="s">
        <v>90</v>
      </c>
      <c r="K124" t="s">
        <v>147</v>
      </c>
      <c r="L124" t="str">
        <f t="shared" si="0"/>
        <v>Relations InternationalesLYON</v>
      </c>
    </row>
    <row r="125" spans="10:13">
      <c r="J125" t="s">
        <v>90</v>
      </c>
      <c r="K125" t="s">
        <v>150</v>
      </c>
      <c r="L125" t="str">
        <f t="shared" si="0"/>
        <v>Relations InternationalesMARSEILLE</v>
      </c>
    </row>
    <row r="126" spans="10:13">
      <c r="J126" t="s">
        <v>90</v>
      </c>
      <c r="K126" t="s">
        <v>153</v>
      </c>
      <c r="L126" t="str">
        <f t="shared" si="0"/>
        <v>Relations InternationalesMONTPELLIER</v>
      </c>
    </row>
    <row r="127" spans="10:13">
      <c r="J127" t="s">
        <v>90</v>
      </c>
      <c r="K127" t="s">
        <v>157</v>
      </c>
      <c r="L127" t="str">
        <f t="shared" si="0"/>
        <v>Relations InternationalesMULHOUSE</v>
      </c>
    </row>
    <row r="128" spans="10:13">
      <c r="J128" t="s">
        <v>90</v>
      </c>
      <c r="K128" t="s">
        <v>160</v>
      </c>
      <c r="L128" t="str">
        <f t="shared" si="0"/>
        <v>Relations InternationalesNANCY</v>
      </c>
    </row>
    <row r="129" spans="10:13">
      <c r="J129" t="s">
        <v>90</v>
      </c>
      <c r="K129" t="s">
        <v>163</v>
      </c>
      <c r="L129" t="str">
        <f t="shared" si="0"/>
        <v>Relations InternationalesNANTES</v>
      </c>
    </row>
    <row r="130" spans="10:13">
      <c r="J130" t="s">
        <v>90</v>
      </c>
      <c r="K130" t="s">
        <v>166</v>
      </c>
      <c r="L130" t="str">
        <f t="shared" si="0"/>
        <v>Relations InternationalesNICE</v>
      </c>
    </row>
    <row r="131" spans="10:13">
      <c r="J131" t="s">
        <v>90</v>
      </c>
      <c r="K131" t="s">
        <v>167</v>
      </c>
      <c r="L131" t="str">
        <f t="shared" si="0"/>
        <v>Relations InternationalesRENNES</v>
      </c>
    </row>
    <row r="132" spans="10:13">
      <c r="J132" t="s">
        <v>90</v>
      </c>
      <c r="K132" t="s">
        <v>169</v>
      </c>
      <c r="L132" t="str">
        <f t="shared" si="0"/>
        <v>Relations InternationalesSTRASBOURG</v>
      </c>
    </row>
    <row r="133" spans="10:13">
      <c r="J133" t="s">
        <v>90</v>
      </c>
      <c r="K133" t="s">
        <v>171</v>
      </c>
      <c r="L133" t="str">
        <f t="shared" si="0"/>
        <v>Relations InternationalesTOULOUSE</v>
      </c>
    </row>
    <row r="134" spans="10:13">
      <c r="J134" t="s">
        <v>95</v>
      </c>
      <c r="K134" t="s">
        <v>129</v>
      </c>
      <c r="L134" t="str">
        <f t="shared" si="0"/>
        <v>CEINATIONAL</v>
      </c>
      <c r="M134" t="s">
        <v>179</v>
      </c>
    </row>
    <row r="135" spans="10:13">
      <c r="J135" t="s">
        <v>95</v>
      </c>
      <c r="K135" t="s">
        <v>13</v>
      </c>
      <c r="L135" t="str">
        <f t="shared" si="0"/>
        <v>CEIPARIS et RP</v>
      </c>
    </row>
    <row r="136" spans="10:13">
      <c r="J136" t="s">
        <v>95</v>
      </c>
      <c r="K136" t="s">
        <v>136</v>
      </c>
      <c r="L136" t="str">
        <f t="shared" si="0"/>
        <v>CEIBORDEAUX</v>
      </c>
    </row>
    <row r="137" spans="10:13">
      <c r="J137" t="s">
        <v>95</v>
      </c>
      <c r="K137" t="s">
        <v>139</v>
      </c>
      <c r="L137" t="str">
        <f t="shared" si="0"/>
        <v>CEILA REUNION</v>
      </c>
    </row>
    <row r="138" spans="10:13">
      <c r="J138" t="s">
        <v>95</v>
      </c>
      <c r="K138" t="s">
        <v>143</v>
      </c>
      <c r="L138" t="str">
        <f t="shared" si="0"/>
        <v>CEILILLE</v>
      </c>
    </row>
    <row r="139" spans="10:13">
      <c r="J139" t="s">
        <v>95</v>
      </c>
      <c r="K139" t="s">
        <v>147</v>
      </c>
      <c r="L139" t="str">
        <f t="shared" ref="L139:L202" si="1">J139&amp;K139</f>
        <v>CEILYON</v>
      </c>
    </row>
    <row r="140" spans="10:13">
      <c r="J140" t="s">
        <v>95</v>
      </c>
      <c r="K140" t="s">
        <v>150</v>
      </c>
      <c r="L140" t="str">
        <f t="shared" si="1"/>
        <v>CEIMARSEILLE</v>
      </c>
    </row>
    <row r="141" spans="10:13">
      <c r="J141" t="s">
        <v>95</v>
      </c>
      <c r="K141" t="s">
        <v>153</v>
      </c>
      <c r="L141" t="str">
        <f t="shared" si="1"/>
        <v>CEIMONTPELLIER</v>
      </c>
    </row>
    <row r="142" spans="10:13">
      <c r="J142" t="s">
        <v>95</v>
      </c>
      <c r="K142" t="s">
        <v>157</v>
      </c>
      <c r="L142" t="str">
        <f t="shared" si="1"/>
        <v>CEIMULHOUSE</v>
      </c>
    </row>
    <row r="143" spans="10:13">
      <c r="J143" t="s">
        <v>95</v>
      </c>
      <c r="K143" t="s">
        <v>160</v>
      </c>
      <c r="L143" t="str">
        <f t="shared" si="1"/>
        <v>CEINANCY</v>
      </c>
    </row>
    <row r="144" spans="10:13">
      <c r="J144" t="s">
        <v>95</v>
      </c>
      <c r="K144" t="s">
        <v>163</v>
      </c>
      <c r="L144" t="str">
        <f t="shared" si="1"/>
        <v>CEINANTES</v>
      </c>
    </row>
    <row r="145" spans="10:13">
      <c r="J145" t="s">
        <v>95</v>
      </c>
      <c r="K145" t="s">
        <v>166</v>
      </c>
      <c r="L145" t="str">
        <f t="shared" si="1"/>
        <v>CEINICE</v>
      </c>
    </row>
    <row r="146" spans="10:13">
      <c r="J146" t="s">
        <v>95</v>
      </c>
      <c r="K146" t="s">
        <v>167</v>
      </c>
      <c r="L146" t="str">
        <f t="shared" si="1"/>
        <v>CEIRENNES</v>
      </c>
    </row>
    <row r="147" spans="10:13">
      <c r="J147" t="s">
        <v>95</v>
      </c>
      <c r="K147" t="s">
        <v>169</v>
      </c>
      <c r="L147" t="str">
        <f t="shared" si="1"/>
        <v>CEISTRASBOURG</v>
      </c>
    </row>
    <row r="148" spans="10:13">
      <c r="J148" t="s">
        <v>95</v>
      </c>
      <c r="K148" t="s">
        <v>171</v>
      </c>
      <c r="L148" t="str">
        <f t="shared" si="1"/>
        <v>CEITOULOUSE</v>
      </c>
    </row>
    <row r="149" spans="10:13">
      <c r="J149" t="s">
        <v>100</v>
      </c>
      <c r="K149" t="s">
        <v>129</v>
      </c>
      <c r="L149" t="str">
        <f t="shared" si="1"/>
        <v>Relations EntreprisesNATIONAL</v>
      </c>
      <c r="M149" t="s">
        <v>180</v>
      </c>
    </row>
    <row r="150" spans="10:13">
      <c r="J150" t="s">
        <v>100</v>
      </c>
      <c r="K150" t="s">
        <v>13</v>
      </c>
      <c r="L150" t="str">
        <f t="shared" si="1"/>
        <v>Relations EntreprisesPARIS et RP</v>
      </c>
    </row>
    <row r="151" spans="10:13">
      <c r="J151" t="s">
        <v>100</v>
      </c>
      <c r="K151" t="s">
        <v>136</v>
      </c>
      <c r="L151" t="str">
        <f t="shared" si="1"/>
        <v>Relations EntreprisesBORDEAUX</v>
      </c>
    </row>
    <row r="152" spans="10:13">
      <c r="J152" t="s">
        <v>100</v>
      </c>
      <c r="K152" t="s">
        <v>139</v>
      </c>
      <c r="L152" t="str">
        <f t="shared" si="1"/>
        <v>Relations EntreprisesLA REUNION</v>
      </c>
    </row>
    <row r="153" spans="10:13">
      <c r="J153" t="s">
        <v>100</v>
      </c>
      <c r="K153" t="s">
        <v>143</v>
      </c>
      <c r="L153" t="str">
        <f t="shared" si="1"/>
        <v>Relations EntreprisesLILLE</v>
      </c>
    </row>
    <row r="154" spans="10:13">
      <c r="J154" t="s">
        <v>100</v>
      </c>
      <c r="K154" t="s">
        <v>147</v>
      </c>
      <c r="L154" t="str">
        <f t="shared" si="1"/>
        <v>Relations EntreprisesLYON</v>
      </c>
    </row>
    <row r="155" spans="10:13">
      <c r="J155" t="s">
        <v>100</v>
      </c>
      <c r="K155" t="s">
        <v>150</v>
      </c>
      <c r="L155" t="str">
        <f t="shared" si="1"/>
        <v>Relations EntreprisesMARSEILLE</v>
      </c>
    </row>
    <row r="156" spans="10:13">
      <c r="J156" t="s">
        <v>100</v>
      </c>
      <c r="K156" t="s">
        <v>153</v>
      </c>
      <c r="L156" t="str">
        <f t="shared" si="1"/>
        <v>Relations EntreprisesMONTPELLIER</v>
      </c>
    </row>
    <row r="157" spans="10:13">
      <c r="J157" t="s">
        <v>100</v>
      </c>
      <c r="K157" t="s">
        <v>157</v>
      </c>
      <c r="L157" t="str">
        <f t="shared" si="1"/>
        <v>Relations EntreprisesMULHOUSE</v>
      </c>
    </row>
    <row r="158" spans="10:13">
      <c r="J158" t="s">
        <v>100</v>
      </c>
      <c r="K158" t="s">
        <v>160</v>
      </c>
      <c r="L158" t="str">
        <f t="shared" si="1"/>
        <v>Relations EntreprisesNANCY</v>
      </c>
    </row>
    <row r="159" spans="10:13">
      <c r="J159" t="s">
        <v>100</v>
      </c>
      <c r="K159" t="s">
        <v>163</v>
      </c>
      <c r="L159" t="str">
        <f t="shared" si="1"/>
        <v>Relations EntreprisesNANTES</v>
      </c>
    </row>
    <row r="160" spans="10:13">
      <c r="J160" t="s">
        <v>100</v>
      </c>
      <c r="K160" t="s">
        <v>166</v>
      </c>
      <c r="L160" t="str">
        <f t="shared" si="1"/>
        <v>Relations EntreprisesNICE</v>
      </c>
    </row>
    <row r="161" spans="10:13">
      <c r="J161" t="s">
        <v>100</v>
      </c>
      <c r="K161" t="s">
        <v>167</v>
      </c>
      <c r="L161" t="str">
        <f t="shared" si="1"/>
        <v>Relations EntreprisesRENNES</v>
      </c>
    </row>
    <row r="162" spans="10:13">
      <c r="J162" t="s">
        <v>100</v>
      </c>
      <c r="K162" t="s">
        <v>169</v>
      </c>
      <c r="L162" t="str">
        <f t="shared" si="1"/>
        <v>Relations EntreprisesSTRASBOURG</v>
      </c>
    </row>
    <row r="163" spans="10:13">
      <c r="J163" t="s">
        <v>100</v>
      </c>
      <c r="K163" t="s">
        <v>171</v>
      </c>
      <c r="L163" t="str">
        <f t="shared" si="1"/>
        <v>Relations EntreprisesTOULOUSE</v>
      </c>
    </row>
    <row r="164" spans="10:13">
      <c r="J164" t="s">
        <v>105</v>
      </c>
      <c r="K164" t="s">
        <v>129</v>
      </c>
      <c r="L164" t="str">
        <f t="shared" si="1"/>
        <v>WACNATIONAL</v>
      </c>
      <c r="M164" t="s">
        <v>181</v>
      </c>
    </row>
    <row r="165" spans="10:13">
      <c r="J165" t="s">
        <v>105</v>
      </c>
      <c r="K165" t="s">
        <v>13</v>
      </c>
      <c r="L165" t="str">
        <f t="shared" si="1"/>
        <v>WACPARIS et RP</v>
      </c>
      <c r="M165" t="s">
        <v>186</v>
      </c>
    </row>
    <row r="166" spans="10:13">
      <c r="J166" t="s">
        <v>105</v>
      </c>
      <c r="K166" t="s">
        <v>136</v>
      </c>
      <c r="L166" t="str">
        <f t="shared" si="1"/>
        <v>WACBORDEAUX</v>
      </c>
      <c r="M166" t="s">
        <v>192</v>
      </c>
    </row>
    <row r="167" spans="10:13">
      <c r="J167" t="s">
        <v>105</v>
      </c>
      <c r="K167" t="s">
        <v>139</v>
      </c>
      <c r="L167" t="str">
        <f t="shared" si="1"/>
        <v>WACLA REUNION</v>
      </c>
      <c r="M167" t="s">
        <v>197</v>
      </c>
    </row>
    <row r="168" spans="10:13">
      <c r="J168" t="s">
        <v>105</v>
      </c>
      <c r="K168" t="s">
        <v>143</v>
      </c>
      <c r="L168" t="str">
        <f t="shared" si="1"/>
        <v>WACLILLE</v>
      </c>
      <c r="M168" t="s">
        <v>202</v>
      </c>
    </row>
    <row r="169" spans="10:13">
      <c r="J169" t="s">
        <v>105</v>
      </c>
      <c r="K169" t="s">
        <v>147</v>
      </c>
      <c r="L169" t="str">
        <f t="shared" si="1"/>
        <v>WACLYON</v>
      </c>
      <c r="M169" t="s">
        <v>207</v>
      </c>
    </row>
    <row r="170" spans="10:13">
      <c r="J170" t="s">
        <v>105</v>
      </c>
      <c r="K170" t="s">
        <v>150</v>
      </c>
      <c r="L170" t="str">
        <f t="shared" si="1"/>
        <v>WACMARSEILLE</v>
      </c>
      <c r="M170" t="s">
        <v>213</v>
      </c>
    </row>
    <row r="171" spans="10:13">
      <c r="J171" t="s">
        <v>105</v>
      </c>
      <c r="K171" t="s">
        <v>153</v>
      </c>
      <c r="L171" t="str">
        <f t="shared" si="1"/>
        <v>WACMONTPELLIER</v>
      </c>
      <c r="M171" t="s">
        <v>218</v>
      </c>
    </row>
    <row r="172" spans="10:13">
      <c r="J172" t="s">
        <v>105</v>
      </c>
      <c r="K172" t="s">
        <v>157</v>
      </c>
      <c r="L172" t="str">
        <f t="shared" si="1"/>
        <v>WACMULHOUSE</v>
      </c>
    </row>
    <row r="173" spans="10:13">
      <c r="J173" t="s">
        <v>105</v>
      </c>
      <c r="K173" t="s">
        <v>160</v>
      </c>
      <c r="L173" t="str">
        <f t="shared" si="1"/>
        <v>WACNANCY</v>
      </c>
      <c r="M173" t="s">
        <v>226</v>
      </c>
    </row>
    <row r="174" spans="10:13">
      <c r="J174" t="s">
        <v>105</v>
      </c>
      <c r="K174" t="s">
        <v>163</v>
      </c>
      <c r="L174" t="str">
        <f t="shared" si="1"/>
        <v>WACNANTES</v>
      </c>
      <c r="M174" t="s">
        <v>231</v>
      </c>
    </row>
    <row r="175" spans="10:13">
      <c r="J175" t="s">
        <v>105</v>
      </c>
      <c r="K175" t="s">
        <v>166</v>
      </c>
      <c r="L175" t="str">
        <f t="shared" si="1"/>
        <v>WACNICE</v>
      </c>
      <c r="M175" t="s">
        <v>236</v>
      </c>
    </row>
    <row r="176" spans="10:13">
      <c r="J176" t="s">
        <v>105</v>
      </c>
      <c r="K176" t="s">
        <v>167</v>
      </c>
      <c r="L176" t="str">
        <f t="shared" si="1"/>
        <v>WACRENNES</v>
      </c>
      <c r="M176" t="s">
        <v>241</v>
      </c>
    </row>
    <row r="177" spans="10:13">
      <c r="J177" t="s">
        <v>105</v>
      </c>
      <c r="K177" t="s">
        <v>169</v>
      </c>
      <c r="L177" t="str">
        <f t="shared" si="1"/>
        <v>WACSTRASBOURG</v>
      </c>
      <c r="M177" t="s">
        <v>246</v>
      </c>
    </row>
    <row r="178" spans="10:13">
      <c r="J178" t="s">
        <v>105</v>
      </c>
      <c r="K178" t="s">
        <v>171</v>
      </c>
      <c r="L178" t="str">
        <f t="shared" si="1"/>
        <v>WACTOULOUSE</v>
      </c>
      <c r="M178" t="s">
        <v>251</v>
      </c>
    </row>
    <row r="179" spans="10:13">
      <c r="J179" t="s">
        <v>109</v>
      </c>
      <c r="K179" t="s">
        <v>129</v>
      </c>
      <c r="L179" t="str">
        <f t="shared" si="1"/>
        <v>CODINGNATIONAL</v>
      </c>
      <c r="M179" t="s">
        <v>182</v>
      </c>
    </row>
    <row r="180" spans="10:13">
      <c r="J180" t="s">
        <v>109</v>
      </c>
      <c r="K180" t="s">
        <v>13</v>
      </c>
      <c r="L180" t="str">
        <f t="shared" si="1"/>
        <v>CODINGPARIS et RP</v>
      </c>
      <c r="M180" t="s">
        <v>187</v>
      </c>
    </row>
    <row r="181" spans="10:13">
      <c r="J181" t="s">
        <v>109</v>
      </c>
      <c r="K181" t="s">
        <v>136</v>
      </c>
      <c r="L181" t="str">
        <f t="shared" si="1"/>
        <v>CODINGBORDEAUX</v>
      </c>
      <c r="M181" t="s">
        <v>193</v>
      </c>
    </row>
    <row r="182" spans="10:13">
      <c r="J182" t="s">
        <v>109</v>
      </c>
      <c r="K182" t="s">
        <v>139</v>
      </c>
      <c r="L182" t="str">
        <f t="shared" si="1"/>
        <v>CODINGLA REUNION</v>
      </c>
      <c r="M182" t="s">
        <v>198</v>
      </c>
    </row>
    <row r="183" spans="10:13">
      <c r="J183" t="s">
        <v>109</v>
      </c>
      <c r="K183" t="s">
        <v>143</v>
      </c>
      <c r="L183" t="str">
        <f t="shared" si="1"/>
        <v>CODINGLILLE</v>
      </c>
      <c r="M183" t="s">
        <v>203</v>
      </c>
    </row>
    <row r="184" spans="10:13">
      <c r="J184" t="s">
        <v>109</v>
      </c>
      <c r="K184" t="s">
        <v>147</v>
      </c>
      <c r="L184" t="str">
        <f t="shared" si="1"/>
        <v>CODINGLYON</v>
      </c>
      <c r="M184" t="s">
        <v>208</v>
      </c>
    </row>
    <row r="185" spans="10:13">
      <c r="J185" t="s">
        <v>109</v>
      </c>
      <c r="K185" t="s">
        <v>150</v>
      </c>
      <c r="L185" t="str">
        <f t="shared" si="1"/>
        <v>CODINGMARSEILLE</v>
      </c>
      <c r="M185" t="s">
        <v>214</v>
      </c>
    </row>
    <row r="186" spans="10:13">
      <c r="J186" t="s">
        <v>109</v>
      </c>
      <c r="K186" t="s">
        <v>153</v>
      </c>
      <c r="L186" t="str">
        <f t="shared" si="1"/>
        <v>CODINGMONTPELLIER</v>
      </c>
      <c r="M186" t="s">
        <v>219</v>
      </c>
    </row>
    <row r="187" spans="10:13">
      <c r="J187" t="s">
        <v>109</v>
      </c>
      <c r="K187" t="s">
        <v>157</v>
      </c>
      <c r="L187" t="str">
        <f t="shared" si="1"/>
        <v>CODINGMULHOUSE</v>
      </c>
    </row>
    <row r="188" spans="10:13">
      <c r="J188" t="s">
        <v>109</v>
      </c>
      <c r="K188" t="s">
        <v>160</v>
      </c>
      <c r="L188" t="str">
        <f t="shared" si="1"/>
        <v>CODINGNANCY</v>
      </c>
      <c r="M188" t="s">
        <v>227</v>
      </c>
    </row>
    <row r="189" spans="10:13">
      <c r="J189" t="s">
        <v>109</v>
      </c>
      <c r="K189" t="s">
        <v>163</v>
      </c>
      <c r="L189" t="str">
        <f t="shared" si="1"/>
        <v>CODINGNANTES</v>
      </c>
      <c r="M189" t="s">
        <v>232</v>
      </c>
    </row>
    <row r="190" spans="10:13">
      <c r="J190" t="s">
        <v>109</v>
      </c>
      <c r="K190" t="s">
        <v>166</v>
      </c>
      <c r="L190" t="str">
        <f t="shared" si="1"/>
        <v>CODINGNICE</v>
      </c>
      <c r="M190" t="s">
        <v>237</v>
      </c>
    </row>
    <row r="191" spans="10:13">
      <c r="J191" t="s">
        <v>109</v>
      </c>
      <c r="K191" t="s">
        <v>167</v>
      </c>
      <c r="L191" t="str">
        <f t="shared" si="1"/>
        <v>CODINGRENNES</v>
      </c>
      <c r="M191" t="s">
        <v>242</v>
      </c>
    </row>
    <row r="192" spans="10:13">
      <c r="J192" t="s">
        <v>109</v>
      </c>
      <c r="K192" t="s">
        <v>169</v>
      </c>
      <c r="L192" t="str">
        <f t="shared" si="1"/>
        <v>CODINGSTRASBOURG</v>
      </c>
      <c r="M192" t="s">
        <v>247</v>
      </c>
    </row>
    <row r="193" spans="10:13">
      <c r="J193" t="s">
        <v>109</v>
      </c>
      <c r="K193" t="s">
        <v>171</v>
      </c>
      <c r="L193" t="str">
        <f t="shared" si="1"/>
        <v>CODINGTOULOUSE</v>
      </c>
      <c r="M193" t="s">
        <v>252</v>
      </c>
    </row>
    <row r="194" spans="10:13">
      <c r="J194" t="s">
        <v>111</v>
      </c>
      <c r="K194" t="s">
        <v>129</v>
      </c>
      <c r="L194" t="str">
        <f t="shared" si="1"/>
        <v>SAMSUNGNATIONAL</v>
      </c>
    </row>
    <row r="195" spans="10:13">
      <c r="J195" t="s">
        <v>111</v>
      </c>
      <c r="K195" t="s">
        <v>13</v>
      </c>
      <c r="L195" t="str">
        <f t="shared" si="1"/>
        <v>SAMSUNGPARIS et RP</v>
      </c>
      <c r="M195" t="s">
        <v>188</v>
      </c>
    </row>
    <row r="196" spans="10:13">
      <c r="J196" t="s">
        <v>111</v>
      </c>
      <c r="K196" t="s">
        <v>136</v>
      </c>
      <c r="L196" t="str">
        <f t="shared" si="1"/>
        <v>SAMSUNGBORDEAUX</v>
      </c>
    </row>
    <row r="197" spans="10:13">
      <c r="J197" t="s">
        <v>111</v>
      </c>
      <c r="K197" t="s">
        <v>139</v>
      </c>
      <c r="L197" t="str">
        <f t="shared" si="1"/>
        <v>SAMSUNGLA REUNION</v>
      </c>
    </row>
    <row r="198" spans="10:13">
      <c r="J198" t="s">
        <v>111</v>
      </c>
      <c r="K198" t="s">
        <v>143</v>
      </c>
      <c r="L198" t="str">
        <f t="shared" si="1"/>
        <v>SAMSUNGLILLE</v>
      </c>
    </row>
    <row r="199" spans="10:13">
      <c r="J199" t="s">
        <v>111</v>
      </c>
      <c r="K199" t="s">
        <v>147</v>
      </c>
      <c r="L199" t="str">
        <f t="shared" si="1"/>
        <v>SAMSUNGLYON</v>
      </c>
    </row>
    <row r="200" spans="10:13">
      <c r="J200" t="s">
        <v>111</v>
      </c>
      <c r="K200" t="s">
        <v>150</v>
      </c>
      <c r="L200" t="str">
        <f t="shared" si="1"/>
        <v>SAMSUNGMARSEILLE</v>
      </c>
    </row>
    <row r="201" spans="10:13">
      <c r="J201" t="s">
        <v>111</v>
      </c>
      <c r="K201" t="s">
        <v>153</v>
      </c>
      <c r="L201" t="str">
        <f t="shared" si="1"/>
        <v>SAMSUNGMONTPELLIER</v>
      </c>
    </row>
    <row r="202" spans="10:13">
      <c r="J202" t="s">
        <v>111</v>
      </c>
      <c r="K202" t="s">
        <v>157</v>
      </c>
      <c r="L202" t="str">
        <f t="shared" si="1"/>
        <v>SAMSUNGMULHOUSE</v>
      </c>
    </row>
    <row r="203" spans="10:13">
      <c r="J203" t="s">
        <v>111</v>
      </c>
      <c r="K203" t="s">
        <v>160</v>
      </c>
      <c r="L203" t="str">
        <f t="shared" ref="L203:L223" si="2">J203&amp;K203</f>
        <v>SAMSUNGNANCY</v>
      </c>
    </row>
    <row r="204" spans="10:13">
      <c r="J204" t="s">
        <v>111</v>
      </c>
      <c r="K204" t="s">
        <v>163</v>
      </c>
      <c r="L204" t="str">
        <f t="shared" si="2"/>
        <v>SAMSUNGNANTES</v>
      </c>
    </row>
    <row r="205" spans="10:13">
      <c r="J205" t="s">
        <v>111</v>
      </c>
      <c r="K205" t="s">
        <v>166</v>
      </c>
      <c r="L205" t="str">
        <f t="shared" si="2"/>
        <v>SAMSUNGNICE</v>
      </c>
    </row>
    <row r="206" spans="10:13">
      <c r="J206" t="s">
        <v>111</v>
      </c>
      <c r="K206" t="s">
        <v>167</v>
      </c>
      <c r="L206" t="str">
        <f t="shared" si="2"/>
        <v>SAMSUNGRENNES</v>
      </c>
    </row>
    <row r="207" spans="10:13">
      <c r="J207" t="s">
        <v>111</v>
      </c>
      <c r="K207" t="s">
        <v>169</v>
      </c>
      <c r="L207" t="str">
        <f t="shared" si="2"/>
        <v>SAMSUNGSTRASBOURG</v>
      </c>
    </row>
    <row r="208" spans="10:13">
      <c r="J208" t="s">
        <v>111</v>
      </c>
      <c r="K208" t="s">
        <v>171</v>
      </c>
      <c r="L208" t="str">
        <f t="shared" si="2"/>
        <v>SAMSUNGTOULOUSE</v>
      </c>
    </row>
    <row r="209" spans="10:13">
      <c r="J209" t="s">
        <v>112</v>
      </c>
      <c r="K209" t="s">
        <v>129</v>
      </c>
      <c r="L209" t="str">
        <f t="shared" si="2"/>
        <v>WAC/CODING/SAMSUNGNATIONAL</v>
      </c>
      <c r="M209" t="s">
        <v>183</v>
      </c>
    </row>
    <row r="210" spans="10:13">
      <c r="J210" t="s">
        <v>112</v>
      </c>
      <c r="K210" t="s">
        <v>13</v>
      </c>
      <c r="L210" t="str">
        <f t="shared" si="2"/>
        <v>WAC/CODING/SAMSUNGPARIS et RP</v>
      </c>
    </row>
    <row r="211" spans="10:13">
      <c r="J211" t="s">
        <v>112</v>
      </c>
      <c r="K211" t="s">
        <v>136</v>
      </c>
      <c r="L211" t="str">
        <f t="shared" si="2"/>
        <v>WAC/CODING/SAMSUNGBORDEAUX</v>
      </c>
    </row>
    <row r="212" spans="10:13">
      <c r="J212" t="s">
        <v>112</v>
      </c>
      <c r="K212" t="s">
        <v>139</v>
      </c>
      <c r="L212" t="str">
        <f t="shared" si="2"/>
        <v>WAC/CODING/SAMSUNGLA REUNION</v>
      </c>
    </row>
    <row r="213" spans="10:13">
      <c r="J213" t="s">
        <v>112</v>
      </c>
      <c r="K213" t="s">
        <v>143</v>
      </c>
      <c r="L213" t="str">
        <f t="shared" si="2"/>
        <v>WAC/CODING/SAMSUNGLILLE</v>
      </c>
    </row>
    <row r="214" spans="10:13">
      <c r="J214" t="s">
        <v>112</v>
      </c>
      <c r="K214" t="s">
        <v>147</v>
      </c>
      <c r="L214" t="str">
        <f t="shared" si="2"/>
        <v>WAC/CODING/SAMSUNGLYON</v>
      </c>
    </row>
    <row r="215" spans="10:13">
      <c r="J215" t="s">
        <v>112</v>
      </c>
      <c r="K215" t="s">
        <v>150</v>
      </c>
      <c r="L215" t="str">
        <f t="shared" si="2"/>
        <v>WAC/CODING/SAMSUNGMARSEILLE</v>
      </c>
    </row>
    <row r="216" spans="10:13">
      <c r="J216" t="s">
        <v>112</v>
      </c>
      <c r="K216" t="s">
        <v>153</v>
      </c>
      <c r="L216" t="str">
        <f t="shared" si="2"/>
        <v>WAC/CODING/SAMSUNGMONTPELLIER</v>
      </c>
    </row>
    <row r="217" spans="10:13">
      <c r="J217" t="s">
        <v>112</v>
      </c>
      <c r="K217" t="s">
        <v>157</v>
      </c>
      <c r="L217" t="str">
        <f t="shared" si="2"/>
        <v>WAC/CODING/SAMSUNGMULHOUSE</v>
      </c>
    </row>
    <row r="218" spans="10:13">
      <c r="J218" t="s">
        <v>112</v>
      </c>
      <c r="K218" t="s">
        <v>160</v>
      </c>
      <c r="L218" t="str">
        <f t="shared" si="2"/>
        <v>WAC/CODING/SAMSUNGNANCY</v>
      </c>
    </row>
    <row r="219" spans="10:13">
      <c r="J219" t="s">
        <v>112</v>
      </c>
      <c r="K219" t="s">
        <v>163</v>
      </c>
      <c r="L219" t="str">
        <f t="shared" si="2"/>
        <v>WAC/CODING/SAMSUNGNANTES</v>
      </c>
    </row>
    <row r="220" spans="10:13">
      <c r="J220" t="s">
        <v>112</v>
      </c>
      <c r="K220" t="s">
        <v>166</v>
      </c>
      <c r="L220" t="str">
        <f t="shared" si="2"/>
        <v>WAC/CODING/SAMSUNGNICE</v>
      </c>
    </row>
    <row r="221" spans="10:13">
      <c r="J221" t="s">
        <v>112</v>
      </c>
      <c r="K221" t="s">
        <v>167</v>
      </c>
      <c r="L221" t="str">
        <f t="shared" si="2"/>
        <v>WAC/CODING/SAMSUNGRENNES</v>
      </c>
    </row>
    <row r="222" spans="10:13">
      <c r="J222" t="s">
        <v>112</v>
      </c>
      <c r="K222" t="s">
        <v>169</v>
      </c>
      <c r="L222" t="str">
        <f t="shared" si="2"/>
        <v>WAC/CODING/SAMSUNGSTRASBOURG</v>
      </c>
    </row>
    <row r="223" spans="10:13">
      <c r="J223" t="s">
        <v>112</v>
      </c>
      <c r="K223" t="s">
        <v>171</v>
      </c>
      <c r="L223" t="str">
        <f t="shared" si="2"/>
        <v>WAC/CODING/SAMSUNGTOULOUSE</v>
      </c>
    </row>
  </sheetData>
  <sheetProtection algorithmName="SHA-512" hashValue="tJA9R4kRasGEhou5Foa/DkQMm868sfotIH20cI4EYZGSIh4L+MBF4BjUZmiRgiSS1lECvD5lS8a5iDf5M170wA==" saltValue="P1IUztigmWU/GR2prnZl8Q==" spinCount="100000" sheet="1" objects="1" scenarios="1"/>
  <autoFilter ref="J73:M223" xr:uid="{7CF4A305-A324-49EC-A94D-462C3193CB9E}"/>
  <sortState xmlns:xlrd2="http://schemas.microsoft.com/office/spreadsheetml/2017/richdata2" ref="K23:T36">
    <sortCondition ref="K23:K36"/>
  </sortState>
  <mergeCells count="1">
    <mergeCell ref="G1:I1"/>
  </mergeCells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5461EC25B6D840AF7EA2EE3540BDC2" ma:contentTypeVersion="37" ma:contentTypeDescription="Crée un document." ma:contentTypeScope="" ma:versionID="503ec3016f06ecfa2a872eb396ea8fbe">
  <xsd:schema xmlns:xsd="http://www.w3.org/2001/XMLSchema" xmlns:xs="http://www.w3.org/2001/XMLSchema" xmlns:p="http://schemas.microsoft.com/office/2006/metadata/properties" xmlns:ns1="http://schemas.microsoft.com/sharepoint/v3" xmlns:ns2="90face15-de70-4464-be80-4af667389416" xmlns:ns3="c198cf11-3a17-4b42-8b38-7c0f01616542" targetNamespace="http://schemas.microsoft.com/office/2006/metadata/properties" ma:root="true" ma:fieldsID="c92559477d3a1ad5efe8f6740d01b4c9" ns1:_="" ns2:_="" ns3:_="">
    <xsd:import namespace="http://schemas.microsoft.com/sharepoint/v3"/>
    <xsd:import namespace="90face15-de70-4464-be80-4af667389416"/>
    <xsd:import namespace="c198cf11-3a17-4b42-8b38-7c0f01616542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ace15-de70-4464-be80-4af667389416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7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18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19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2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3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5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0" nillable="true" ma:displayName="Tags" ma:internalName="MediaServiceAutoTags" ma:readOnly="true">
      <xsd:simpleType>
        <xsd:restriction base="dms:Text"/>
      </xsd:simple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1" nillable="true" ma:taxonomy="true" ma:internalName="lcf76f155ced4ddcb4097134ff3c332f" ma:taxonomyFieldName="MediaServiceImageTags" ma:displayName="Balises d’images" ma:readOnly="false" ma:fieldId="{5cf76f15-5ced-4ddc-b409-7134ff3c332f}" ma:taxonomyMulti="true" ma:sspId="ea5cba62-7a90-4cbb-8c0d-a8cd742f6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8cf11-3a17-4b42-8b38-7c0f01616542" elementFormDefault="qualified">
    <xsd:import namespace="http://schemas.microsoft.com/office/2006/documentManagement/types"/>
    <xsd:import namespace="http://schemas.microsoft.com/office/infopath/2007/PartnerControls"/>
    <xsd:element name="SharedWithUsers" ma:index="3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2" nillable="true" ma:displayName="Taxonomy Catch All Column" ma:hidden="true" ma:list="{1d7ee8bc-0010-450a-9e03-1cbd8667ef59}" ma:internalName="TaxCatchAll" ma:showField="CatchAllData" ma:web="c198cf11-3a17-4b42-8b38-7c0f016165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th_Settings xmlns="90face15-de70-4464-be80-4af667389416" xsi:nil="true"/>
    <Owner xmlns="90face15-de70-4464-be80-4af667389416">
      <UserInfo>
        <DisplayName/>
        <AccountId xsi:nil="true"/>
        <AccountType/>
      </UserInfo>
    </Owner>
    <Distribution_Groups xmlns="90face15-de70-4464-be80-4af667389416" xsi:nil="true"/>
    <LMS_Mappings xmlns="90face15-de70-4464-be80-4af667389416" xsi:nil="true"/>
    <NotebookType xmlns="90face15-de70-4464-be80-4af667389416" xsi:nil="true"/>
    <Leaders xmlns="90face15-de70-4464-be80-4af667389416">
      <UserInfo>
        <DisplayName/>
        <AccountId xsi:nil="true"/>
        <AccountType/>
      </UserInfo>
    </Leaders>
    <Invited_Leaders xmlns="90face15-de70-4464-be80-4af667389416" xsi:nil="true"/>
    <IsNotebookLocked xmlns="90face15-de70-4464-be80-4af667389416" xsi:nil="true"/>
    <Templates xmlns="90face15-de70-4464-be80-4af667389416" xsi:nil="true"/>
    <Has_Leaders_Only_SectionGroup xmlns="90face15-de70-4464-be80-4af667389416" xsi:nil="true"/>
    <TeamsChannelId xmlns="90face15-de70-4464-be80-4af667389416" xsi:nil="true"/>
    <Self_Registration_Enabled xmlns="90face15-de70-4464-be80-4af667389416" xsi:nil="true"/>
    <CultureName xmlns="90face15-de70-4464-be80-4af667389416" xsi:nil="true"/>
    <Is_Collaboration_Space_Locked xmlns="90face15-de70-4464-be80-4af667389416" xsi:nil="true"/>
    <Members xmlns="90face15-de70-4464-be80-4af667389416">
      <UserInfo>
        <DisplayName/>
        <AccountId xsi:nil="true"/>
        <AccountType/>
      </UserInfo>
    </Members>
    <Member_Groups xmlns="90face15-de70-4464-be80-4af667389416">
      <UserInfo>
        <DisplayName/>
        <AccountId xsi:nil="true"/>
        <AccountType/>
      </UserInfo>
    </Member_Groups>
    <FolderType xmlns="90face15-de70-4464-be80-4af667389416" xsi:nil="true"/>
    <AppVersion xmlns="90face15-de70-4464-be80-4af667389416" xsi:nil="true"/>
    <DefaultSectionNames xmlns="90face15-de70-4464-be80-4af667389416" xsi:nil="true"/>
    <Invited_Members xmlns="90face15-de70-4464-be80-4af667389416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0face15-de70-4464-be80-4af667389416">
      <Terms xmlns="http://schemas.microsoft.com/office/infopath/2007/PartnerControls"/>
    </lcf76f155ced4ddcb4097134ff3c332f>
    <TaxCatchAll xmlns="c198cf11-3a17-4b42-8b38-7c0f01616542" xsi:nil="true"/>
  </documentManagement>
</p:properties>
</file>

<file path=customXml/itemProps1.xml><?xml version="1.0" encoding="utf-8"?>
<ds:datastoreItem xmlns:ds="http://schemas.openxmlformats.org/officeDocument/2006/customXml" ds:itemID="{28827109-B702-4027-9F1E-52E92578B01D}"/>
</file>

<file path=customXml/itemProps2.xml><?xml version="1.0" encoding="utf-8"?>
<ds:datastoreItem xmlns:ds="http://schemas.openxmlformats.org/officeDocument/2006/customXml" ds:itemID="{BBE4BE86-F0D5-4ADB-88F7-3F8BD84199F2}"/>
</file>

<file path=customXml/itemProps3.xml><?xml version="1.0" encoding="utf-8"?>
<ds:datastoreItem xmlns:ds="http://schemas.openxmlformats.org/officeDocument/2006/customXml" ds:itemID="{CEBC1A45-53AF-494A-99F3-FA9C5E112D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Aurélien PELOIS</dc:creator>
  <cp:keywords/>
  <dc:description/>
  <cp:lastModifiedBy/>
  <cp:revision/>
  <dcterms:created xsi:type="dcterms:W3CDTF">2018-01-17T15:16:30Z</dcterms:created>
  <dcterms:modified xsi:type="dcterms:W3CDTF">2026-10-13T11:58:03Z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0x010100D15461EC25B6D840AF7EA2EE3540BDC2</vt:lpwstr>
  </property>
  <property fmtid="{D5CDD505-2E9C-101B-9397-08002B2CF9AE}" pid="3" name="MediaServiceImageTags">
    <vt:lpwstr/>
  </property>
</Properties>
</file>