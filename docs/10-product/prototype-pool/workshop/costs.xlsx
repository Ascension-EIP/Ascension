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t1 - Resources" sheetId="2" state="visible" r:id="rId2"/>
    <sheet xmlns:r="http://schemas.openxmlformats.org/officeDocument/2006/relationships" name="Part2 - Benchmark" sheetId="3" state="visible" r:id="rId3"/>
    <sheet xmlns:r="http://schemas.openxmlformats.org/officeDocument/2006/relationships" name="Part3 - Budget" sheetId="4" state="visible" r:id="rId4"/>
    <sheet xmlns:r="http://schemas.openxmlformats.org/officeDocument/2006/relationships" name="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E3A5F"/>
      <sz val="12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C0392B"/>
        <bgColor rgb="00C0392B"/>
      </patternFill>
    </fill>
    <fill>
      <patternFill patternType="solid">
        <fgColor rgb="00FFF3E0"/>
        <bgColor rgb="00FFF3E0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 ht="40" customHeight="1">
      <c r="A1" s="1" t="inlineStr">
        <is>
          <t>WORKSHOP - COSTING &amp; TECHNICAL SIZING</t>
        </is>
      </c>
    </row>
    <row r="2" ht="25" customHeight="1">
      <c r="A2" s="2" t="inlineStr">
        <is>
          <t>Ascension EIP - Application d'analyse biomécanique pour l'escalade</t>
        </is>
      </c>
    </row>
    <row r="4">
      <c r="A4" s="3" t="inlineStr">
        <is>
          <t>Résumé Exécutif</t>
        </is>
      </c>
    </row>
    <row r="6" ht="30" customHeight="1">
      <c r="A6" s="4" t="inlineStr">
        <is>
          <t>Catégorie</t>
        </is>
      </c>
      <c r="B6" s="4" t="inlineStr">
        <is>
          <t>MVP (100 users)</t>
        </is>
      </c>
      <c r="C6" s="4" t="inlineStr">
        <is>
          <t>Scale (1k users)</t>
        </is>
      </c>
      <c r="D6" s="4" t="inlineStr">
        <is>
          <t>Scale+ (10k users)</t>
        </is>
      </c>
      <c r="E6" s="4" t="inlineStr">
        <is>
          <t>Unité</t>
        </is>
      </c>
      <c r="F6" s="4" t="inlineStr">
        <is>
          <t>Notes</t>
        </is>
      </c>
    </row>
    <row r="7">
      <c r="A7" s="5" t="inlineStr">
        <is>
          <t>CAPEX Total</t>
        </is>
      </c>
      <c r="B7" s="6" t="n">
        <v>133</v>
      </c>
      <c r="C7" s="6" t="n">
        <v>0</v>
      </c>
      <c r="D7" s="6" t="n">
        <v>0</v>
      </c>
      <c r="E7" s="5" t="inlineStr">
        <is>
          <t>EUR (one-time)</t>
        </is>
      </c>
      <c r="F7" s="5" t="inlineStr">
        <is>
          <t>Coûts uniques de lancement</t>
        </is>
      </c>
    </row>
    <row r="8">
      <c r="A8" s="5" t="inlineStr">
        <is>
          <t>OPEX Mensuel</t>
        </is>
      </c>
      <c r="B8" s="6">
        <f>B8</f>
        <v/>
      </c>
      <c r="C8" s="6">
        <f>C8</f>
        <v/>
      </c>
      <c r="D8" s="6">
        <f>D8</f>
        <v/>
      </c>
      <c r="E8" s="5" t="inlineStr">
        <is>
          <t>EUR/mois</t>
        </is>
      </c>
      <c r="F8" s="5" t="inlineStr">
        <is>
          <t>Coûts récurrents mensuels</t>
        </is>
      </c>
    </row>
    <row r="9">
      <c r="A9" s="5" t="inlineStr">
        <is>
          <t>Infrastructure</t>
        </is>
      </c>
      <c r="B9" s="6" t="n">
        <v>70</v>
      </c>
      <c r="C9" s="6" t="n">
        <v>231</v>
      </c>
      <c r="D9" s="6" t="n">
        <v>655</v>
      </c>
      <c r="E9" s="5" t="inlineStr">
        <is>
          <t>EUR/mois</t>
        </is>
      </c>
      <c r="F9" s="5" t="inlineStr">
        <is>
          <t>Hébergement + DB + Storage</t>
        </is>
      </c>
    </row>
    <row r="10">
      <c r="A10" s="5" t="inlineStr">
        <is>
          <t>Coût/user/mois</t>
        </is>
      </c>
      <c r="B10" s="5">
        <f>B9/100</f>
        <v/>
      </c>
      <c r="C10" s="5">
        <f>C9/1000</f>
        <v/>
      </c>
      <c r="D10" s="5">
        <f>D9/10000</f>
        <v/>
      </c>
      <c r="E10" s="5" t="inlineStr">
        <is>
          <t>EUR/user/mois</t>
        </is>
      </c>
      <c r="F10" s="5" t="inlineStr">
        <is>
          <t>Ratio économique clé</t>
        </is>
      </c>
    </row>
    <row r="11">
      <c r="A11" s="5" t="inlineStr">
        <is>
          <t>Revenu potentiel (10% conv.)</t>
        </is>
      </c>
      <c r="B11" s="6">
        <f>100*0.1*9.99</f>
        <v/>
      </c>
      <c r="C11" s="6">
        <f>1000*0.1*9.99</f>
        <v/>
      </c>
      <c r="D11" s="6">
        <f>10000*0.1*9.99</f>
        <v/>
      </c>
      <c r="E11" s="5" t="inlineStr">
        <is>
          <t>EUR/mois</t>
        </is>
      </c>
      <c r="F11" s="5" t="inlineStr">
        <is>
          <t>Freemium 9.99€/mois</t>
        </is>
      </c>
    </row>
    <row r="12">
      <c r="A12" s="7" t="inlineStr">
        <is>
          <t>Marge brute</t>
        </is>
      </c>
      <c r="B12" s="8">
        <f>B11-B8</f>
        <v/>
      </c>
      <c r="C12" s="8">
        <f>C11-C8</f>
        <v/>
      </c>
      <c r="D12" s="8">
        <f>D11-D8</f>
        <v/>
      </c>
      <c r="E12" s="7" t="inlineStr">
        <is>
          <t>EUR/mois</t>
        </is>
      </c>
      <c r="F12" s="7" t="inlineStr">
        <is>
          <t>Revenu - OPEX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28" customWidth="1" min="4" max="4"/>
    <col width="40" customWidth="1" min="5" max="5"/>
  </cols>
  <sheetData>
    <row r="1" ht="35" customHeight="1">
      <c r="A1" s="4" t="inlineStr">
        <is>
          <t>PART 1 - RESOURCE IDENTIFICATION</t>
        </is>
      </c>
    </row>
    <row r="3" ht="25" customHeight="1">
      <c r="A3" s="9" t="inlineStr">
        <is>
          <t>1. Infrastructure &amp; Services (Cloud/SaaS)</t>
        </is>
      </c>
    </row>
    <row r="4" ht="25" customHeight="1">
      <c r="A4" s="4" t="inlineStr">
        <is>
          <t>Service</t>
        </is>
      </c>
      <c r="B4" s="4" t="inlineStr">
        <is>
          <t>Rôle</t>
        </is>
      </c>
      <c r="C4" s="4" t="inlineStr">
        <is>
          <t>Specs</t>
        </is>
      </c>
      <c r="D4" s="4" t="inlineStr">
        <is>
          <t>Provider</t>
        </is>
      </c>
      <c r="E4" s="4" t="inlineStr">
        <is>
          <t>Justification</t>
        </is>
      </c>
    </row>
    <row r="5">
      <c r="A5" s="10" t="inlineStr">
        <is>
          <t>API Backend</t>
        </is>
      </c>
      <c r="B5" s="10" t="inlineStr">
        <is>
          <t>Rust Axum API + Nginx + Redis</t>
        </is>
      </c>
      <c r="C5" s="10" t="inlineStr">
        <is>
          <t>4 vCPU, 8 GB RAM, 80 GB SSD</t>
        </is>
      </c>
      <c r="D5" s="10" t="inlineStr">
        <is>
          <t>Hetzner CX31</t>
        </is>
      </c>
      <c r="E5" s="10" t="inlineStr">
        <is>
          <t>Nginx reverse proxy + API REST + queue Redis sur 1 conteneur Docker</t>
        </is>
      </c>
    </row>
    <row r="6">
      <c r="A6" s="11" t="inlineStr">
        <is>
          <t>Database Server</t>
        </is>
      </c>
      <c r="B6" s="11" t="inlineStr">
        <is>
          <t>PostgreSQL Master + Replica</t>
        </is>
      </c>
      <c r="C6" s="11" t="inlineStr">
        <is>
          <t>4 vCPU, 16 GB RAM, 500 GB NVMe</t>
        </is>
      </c>
      <c r="D6" s="11" t="inlineStr">
        <is>
          <t>Hetzner CX41</t>
        </is>
      </c>
      <c r="E6" s="11" t="inlineStr">
        <is>
          <t>Données relationnelles (users, vidéos, analyses). Replica pour HA</t>
        </is>
      </c>
    </row>
    <row r="7">
      <c r="A7" s="10" t="inlineStr">
        <is>
          <t>ML Workers</t>
        </is>
      </c>
      <c r="B7" s="10" t="inlineStr">
        <is>
          <t>Python workers Celery</t>
        </is>
      </c>
      <c r="C7" s="10" t="inlineStr">
        <is>
          <t>8 vCPU, 16 GB RAM, 100 GB SSD</t>
        </is>
      </c>
      <c r="D7" s="10" t="inlineStr">
        <is>
          <t>Hetzner CX51</t>
        </is>
      </c>
      <c r="E7" s="10" t="inlineStr">
        <is>
          <t>MediaPipe + OpenCV CPU-intensive. 2 workers parallèles</t>
        </is>
      </c>
    </row>
    <row r="8">
      <c r="A8" s="11" t="inlineStr">
        <is>
          <t>Object Storage S3</t>
        </is>
      </c>
      <c r="B8" s="11" t="inlineStr">
        <is>
          <t>Stockage vidéos (50-200 MB/vidéo)</t>
        </is>
      </c>
      <c r="C8" s="11" t="inlineStr">
        <is>
          <t>1 TB extensible</t>
        </is>
      </c>
      <c r="D8" s="11" t="inlineStr">
        <is>
          <t>Hetzner Storage Box</t>
        </is>
      </c>
      <c r="E8" s="11" t="inlineStr">
        <is>
          <t>S3-compatible, RGPD EU, 10€/mois pour 1 TB</t>
        </is>
      </c>
    </row>
    <row r="9">
      <c r="A9" s="10" t="inlineStr">
        <is>
          <t>Backup</t>
        </is>
      </c>
      <c r="B9" s="10" t="inlineStr">
        <is>
          <t>Backup PostgreSQL quotidien</t>
        </is>
      </c>
      <c r="C9" s="10" t="inlineStr">
        <is>
          <t>100 GB cold storage</t>
        </is>
      </c>
      <c r="D9" s="10" t="inlineStr">
        <is>
          <t>Hetzner Storage Box</t>
        </is>
      </c>
      <c r="E9" s="10" t="inlineStr">
        <is>
          <t>pg_dump + WAL archiving. RPO &lt; 15 min</t>
        </is>
      </c>
    </row>
    <row r="10">
      <c r="A10" s="11" t="inlineStr">
        <is>
          <t>Nom de domaine</t>
        </is>
      </c>
      <c r="B10" s="11" t="inlineStr">
        <is>
          <t>DNS escalade-app.com</t>
        </is>
      </c>
      <c r="C10" s="11" t="inlineStr">
        <is>
          <t>Domaine .com</t>
        </is>
      </c>
      <c r="D10" s="11" t="inlineStr">
        <is>
          <t>OVH / Namecheap</t>
        </is>
      </c>
      <c r="E10" s="11" t="inlineStr">
        <is>
          <t>Renouvellement annuel ~12€/an</t>
        </is>
      </c>
    </row>
    <row r="11">
      <c r="A11" s="10" t="inlineStr">
        <is>
          <t>SSL Certificate</t>
        </is>
      </c>
      <c r="B11" s="10" t="inlineStr">
        <is>
          <t>HTTPS sécurisé</t>
        </is>
      </c>
      <c r="C11" s="10" t="inlineStr">
        <is>
          <t>Wildcard *.escalade-app.com</t>
        </is>
      </c>
      <c r="D11" s="10" t="inlineStr">
        <is>
          <t>Let's Encrypt (gratuit)</t>
        </is>
      </c>
      <c r="E11" s="10" t="inlineStr">
        <is>
          <t>Auto-renewal via Certbot</t>
        </is>
      </c>
    </row>
    <row r="12">
      <c r="A12" s="11" t="inlineStr">
        <is>
          <t>CI/CD</t>
        </is>
      </c>
      <c r="B12" s="11" t="inlineStr">
        <is>
          <t>Build + Deploy automatisé</t>
        </is>
      </c>
      <c r="C12" s="11" t="inlineStr">
        <is>
          <t>GitHub Actions hosted runners</t>
        </is>
      </c>
      <c r="D12" s="11" t="inlineStr">
        <is>
          <t>GitHub (gratuit)</t>
        </is>
      </c>
      <c r="E12" s="11" t="inlineStr">
        <is>
          <t>Gratuit pour projets &lt; 2000 min/mois</t>
        </is>
      </c>
    </row>
    <row r="13">
      <c r="A13" s="10" t="inlineStr">
        <is>
          <t>Monitoring</t>
        </is>
      </c>
      <c r="B13" s="10" t="inlineStr">
        <is>
          <t>Métriques + alerting</t>
        </is>
      </c>
      <c r="C13" s="10" t="inlineStr">
        <is>
          <t>Prometheus + Grafana self-hosted</t>
        </is>
      </c>
      <c r="D13" s="10" t="inlineStr">
        <is>
          <t>Self-hosted sur serveur API</t>
        </is>
      </c>
      <c r="E13" s="10" t="inlineStr">
        <is>
          <t>Grafana gratuit, installé sur Machine 1</t>
        </is>
      </c>
    </row>
    <row r="14">
      <c r="A14" s="11" t="inlineStr">
        <is>
          <t>Error Tracking</t>
        </is>
      </c>
      <c r="B14" s="11" t="inlineStr">
        <is>
          <t>Logs erreurs production</t>
        </is>
      </c>
      <c r="C14" s="11" t="inlineStr">
        <is>
          <t>Sentry free tier (5k events/mois)</t>
        </is>
      </c>
      <c r="D14" s="11" t="inlineStr">
        <is>
          <t>Sentry.io</t>
        </is>
      </c>
      <c r="E14" s="11" t="inlineStr">
        <is>
          <t>Free tier suffisant pour MVP</t>
        </is>
      </c>
    </row>
    <row r="15">
      <c r="A15" s="10" t="inlineStr">
        <is>
          <t>Apple Developer</t>
        </is>
      </c>
      <c r="B15" s="10" t="inlineStr">
        <is>
          <t>Distribution App Store iOS</t>
        </is>
      </c>
      <c r="C15" s="10" t="inlineStr">
        <is>
          <t>Compte développeur</t>
        </is>
      </c>
      <c r="D15" s="10" t="inlineStr">
        <is>
          <t>Apple</t>
        </is>
      </c>
      <c r="E15" s="10" t="inlineStr">
        <is>
          <t>99€/an - obligatoire pour iOS</t>
        </is>
      </c>
    </row>
    <row r="16">
      <c r="A16" s="11" t="inlineStr">
        <is>
          <t>Google Play</t>
        </is>
      </c>
      <c r="B16" s="11" t="inlineStr">
        <is>
          <t>Distribution Play Store Android</t>
        </is>
      </c>
      <c r="C16" s="11" t="inlineStr">
        <is>
          <t>Compte développeur</t>
        </is>
      </c>
      <c r="D16" s="11" t="inlineStr">
        <is>
          <t>Google</t>
        </is>
      </c>
      <c r="E16" s="11" t="inlineStr">
        <is>
          <t>25€ one-time - obligatoire pour Android</t>
        </is>
      </c>
    </row>
    <row r="18">
      <c r="A18" s="9" t="inlineStr">
        <is>
          <t>2. Hardware &amp; Physical Equipment</t>
        </is>
      </c>
    </row>
    <row r="19" ht="25" customHeight="1">
      <c r="A19" s="4" t="inlineStr">
        <is>
          <t>Équipement</t>
        </is>
      </c>
      <c r="B19" s="4" t="inlineStr">
        <is>
          <t>Usage</t>
        </is>
      </c>
      <c r="C19" s="4" t="inlineStr">
        <is>
          <t>Specs minimum</t>
        </is>
      </c>
      <c r="D19" s="4" t="inlineStr">
        <is>
          <t>Quantité</t>
        </is>
      </c>
      <c r="E19" s="4" t="inlineStr">
        <is>
          <t>Notes</t>
        </is>
      </c>
    </row>
    <row r="20">
      <c r="A20" s="11" t="inlineStr">
        <is>
          <t>Smartphone iOS (iPhone)</t>
        </is>
      </c>
      <c r="B20" s="11" t="inlineStr">
        <is>
          <t>Test appli mobile + démo</t>
        </is>
      </c>
      <c r="C20" s="11" t="inlineStr">
        <is>
          <t>iPhone XS ou supérieur, iOS 13+</t>
        </is>
      </c>
      <c r="D20" s="11" t="inlineStr">
        <is>
          <t>1 (perso)</t>
        </is>
      </c>
      <c r="E20" s="11" t="inlineStr">
        <is>
          <t>Utiliser les téléphones personnels de l'équipe</t>
        </is>
      </c>
    </row>
    <row r="21">
      <c r="A21" s="10" t="inlineStr">
        <is>
          <t>Smartphone Android</t>
        </is>
      </c>
      <c r="B21" s="10" t="inlineStr">
        <is>
          <t>Test appli mobile + benchmark</t>
        </is>
      </c>
      <c r="C21" s="10" t="inlineStr">
        <is>
          <t>Android 8.0+, 3 GB RAM minimum</t>
        </is>
      </c>
      <c r="D21" s="10" t="inlineStr">
        <is>
          <t>1 (perso)</t>
        </is>
      </c>
      <c r="E21" s="10" t="inlineStr">
        <is>
          <t>Utiliser les téléphones personnels de l'équipe</t>
        </is>
      </c>
    </row>
    <row r="22">
      <c r="A22" s="11" t="inlineStr">
        <is>
          <t>Laptop développeur</t>
        </is>
      </c>
      <c r="B22" s="11" t="inlineStr">
        <is>
          <t>Développement Flutter, Rust, Python</t>
        </is>
      </c>
      <c r="C22" s="11" t="inlineStr">
        <is>
          <t>8 cœurs, 16 GB RAM, SSD 512 GB</t>
        </is>
      </c>
      <c r="D22" s="11" t="inlineStr">
        <is>
          <t>5 (perso)</t>
        </is>
      </c>
      <c r="E22" s="11" t="inlineStr">
        <is>
          <t>PC/Mac personnels des développeurs Epitech</t>
        </is>
      </c>
    </row>
    <row r="23">
      <c r="A23" s="10" t="inlineStr">
        <is>
          <t>Aucun hardware physique dédié</t>
        </is>
      </c>
      <c r="B23" s="10" t="inlineStr">
        <is>
          <t>Architecture 100% cloud</t>
        </is>
      </c>
      <c r="C23" s="10" t="inlineStr">
        <is>
          <t>N/A</t>
        </is>
      </c>
      <c r="D23" s="10" t="inlineStr">
        <is>
          <t>N/A</t>
        </is>
      </c>
      <c r="E23" s="10" t="inlineStr">
        <is>
          <t>Pas de serveurs physiques - tout hébergé chez Hetzner</t>
        </is>
      </c>
    </row>
    <row r="25">
      <c r="A25" s="12" t="inlineStr">
        <is>
          <t>Couts Caches (Hidden Costs)</t>
        </is>
      </c>
    </row>
    <row r="26">
      <c r="A26" s="13" t="inlineStr">
        <is>
          <t>Data Egress fees</t>
        </is>
      </c>
      <c r="B26" s="13" t="inlineStr">
        <is>
          <t>Sortie de données du cloud</t>
        </is>
      </c>
      <c r="C26" s="13" t="inlineStr">
        <is>
          <t>~20 GB/mois MVP → ~200 GB/mois scale</t>
        </is>
      </c>
      <c r="D26" s="13" t="inlineStr">
        <is>
          <t>Inclus 1 TB/mois Hetzner</t>
        </is>
      </c>
      <c r="E26" s="13" t="inlineStr">
        <is>
          <t>Surveiller les dépassements</t>
        </is>
      </c>
    </row>
    <row r="27">
      <c r="A27" s="13" t="inlineStr">
        <is>
          <t>TVA</t>
        </is>
      </c>
      <c r="B27" s="13" t="inlineStr">
        <is>
          <t>Value Added Tax France</t>
        </is>
      </c>
      <c r="C27" s="13" t="inlineStr">
        <is>
          <t>20% sur factures cloud</t>
        </is>
      </c>
      <c r="D27" s="13" t="inlineStr">
        <is>
          <t>A intégrer dans budget</t>
        </is>
      </c>
      <c r="E27" s="13" t="inlineStr">
        <is>
          <t>Hetzner facture HT pour B2B EU</t>
        </is>
      </c>
    </row>
    <row r="28">
      <c r="A28" s="13" t="inlineStr">
        <is>
          <t>Backup storage</t>
        </is>
      </c>
      <c r="B28" s="13" t="inlineStr">
        <is>
          <t>Stockage backups quotidiens</t>
        </is>
      </c>
      <c r="C28" s="13" t="inlineStr">
        <is>
          <t>100 GB quotidien × 7 jours = 700 GB</t>
        </is>
      </c>
      <c r="D28" s="13" t="inlineStr">
        <is>
          <t>~7€/mois</t>
        </is>
      </c>
      <c r="E28" s="13" t="inlineStr">
        <is>
          <t>Inclus dans Storage Box</t>
        </is>
      </c>
    </row>
    <row r="29">
      <c r="A29" s="13" t="inlineStr">
        <is>
          <t>Overage fees</t>
        </is>
      </c>
      <c r="B29" s="13" t="inlineStr">
        <is>
          <t>Dépassement quotas</t>
        </is>
      </c>
      <c r="C29" s="13" t="inlineStr">
        <is>
          <t>Si &gt; 1 TB storage ou &gt; 1 TB egress</t>
        </is>
      </c>
      <c r="D29" s="13" t="inlineStr">
        <is>
          <t>Variable</t>
        </is>
      </c>
      <c r="E29" s="13" t="inlineStr">
        <is>
          <t>Alertes billing à configurer</t>
        </is>
      </c>
    </row>
  </sheetData>
  <mergeCells count="4">
    <mergeCell ref="A1:E1"/>
    <mergeCell ref="A18:E18"/>
    <mergeCell ref="A25:E2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35" customWidth="1" min="7" max="7"/>
  </cols>
  <sheetData>
    <row r="1" ht="35" customHeight="1">
      <c r="A1" s="4" t="inlineStr">
        <is>
          <t>PART 2 - FINANCIAL BENCHMARK - COMPARAISON PROVIDERS</t>
        </is>
      </c>
    </row>
    <row r="3">
      <c r="A3" s="9" t="inlineStr">
        <is>
          <t>Benchmark Hébergement Cloud : Hetzner vs OVH vs AWS</t>
        </is>
      </c>
    </row>
    <row r="4">
      <c r="A4" s="4" t="inlineStr">
        <is>
          <t>Critère</t>
        </is>
      </c>
      <c r="B4" s="4" t="inlineStr">
        <is>
          <t>Hetzner (DE)</t>
        </is>
      </c>
      <c r="C4" s="4" t="inlineStr">
        <is>
          <t>OVH (FR)</t>
        </is>
      </c>
      <c r="D4" s="4" t="inlineStr">
        <is>
          <t>AWS (US/EU)</t>
        </is>
      </c>
      <c r="E4" s="4" t="inlineStr">
        <is>
          <t>Gagnant</t>
        </is>
      </c>
      <c r="F4" s="4" t="inlineStr">
        <is>
          <t>Poids</t>
        </is>
      </c>
      <c r="G4" s="4" t="inlineStr">
        <is>
          <t>Score Hetzner</t>
        </is>
      </c>
    </row>
    <row r="5">
      <c r="A5" s="10" t="inlineStr">
        <is>
          <t>Prix VM 4vCPU/8GB RAM/mois</t>
        </is>
      </c>
      <c r="B5" s="10" t="inlineStr">
        <is>
          <t>15€</t>
        </is>
      </c>
      <c r="C5" s="10" t="inlineStr">
        <is>
          <t>22€</t>
        </is>
      </c>
      <c r="D5" s="10" t="inlineStr">
        <is>
          <t>60€</t>
        </is>
      </c>
      <c r="E5" s="7" t="inlineStr">
        <is>
          <t>Hetzner</t>
        </is>
      </c>
      <c r="F5" s="10" t="inlineStr">
        <is>
          <t>Très important</t>
        </is>
      </c>
      <c r="G5" s="10" t="inlineStr">
        <is>
          <t>5/5</t>
        </is>
      </c>
    </row>
    <row r="6">
      <c r="A6" s="11" t="inlineStr">
        <is>
          <t>Prix VM 8vCPU/16GB RAM/mois</t>
        </is>
      </c>
      <c r="B6" s="11" t="inlineStr">
        <is>
          <t>45€</t>
        </is>
      </c>
      <c r="C6" s="11" t="inlineStr">
        <is>
          <t>65€</t>
        </is>
      </c>
      <c r="D6" s="11" t="inlineStr">
        <is>
          <t>180€</t>
        </is>
      </c>
      <c r="E6" s="7" t="inlineStr">
        <is>
          <t>Hetzner</t>
        </is>
      </c>
      <c r="F6" s="11" t="inlineStr">
        <is>
          <t>Très important</t>
        </is>
      </c>
      <c r="G6" s="11" t="inlineStr">
        <is>
          <t>5/5</t>
        </is>
      </c>
    </row>
    <row r="7">
      <c r="A7" s="10" t="inlineStr">
        <is>
          <t>Object Storage 1 TB/mois</t>
        </is>
      </c>
      <c r="B7" s="10" t="inlineStr">
        <is>
          <t>10€</t>
        </is>
      </c>
      <c r="C7" s="10" t="inlineStr">
        <is>
          <t>12€</t>
        </is>
      </c>
      <c r="D7" s="10" t="inlineStr">
        <is>
          <t>23€</t>
        </is>
      </c>
      <c r="E7" s="7" t="inlineStr">
        <is>
          <t>Hetzner</t>
        </is>
      </c>
      <c r="F7" s="10" t="inlineStr">
        <is>
          <t>Important</t>
        </is>
      </c>
      <c r="G7" s="10" t="inlineStr">
        <is>
          <t>5/5</t>
        </is>
      </c>
    </row>
    <row r="8">
      <c r="A8" s="11" t="inlineStr">
        <is>
          <t>Localisation datacenter</t>
        </is>
      </c>
      <c r="B8" s="11" t="inlineStr">
        <is>
          <t>Allemagne/Finlande (EU)</t>
        </is>
      </c>
      <c r="C8" s="11" t="inlineStr">
        <is>
          <t>France (EU)</t>
        </is>
      </c>
      <c r="D8" s="11" t="inlineStr">
        <is>
          <t>Ireland/Frankfurt (EU)</t>
        </is>
      </c>
      <c r="E8" s="11" t="inlineStr">
        <is>
          <t>Tous RGPD</t>
        </is>
      </c>
      <c r="F8" s="11" t="inlineStr">
        <is>
          <t>Important</t>
        </is>
      </c>
      <c r="G8" s="11" t="inlineStr">
        <is>
          <t>5/5</t>
        </is>
      </c>
    </row>
    <row r="9">
      <c r="A9" s="10" t="inlineStr">
        <is>
          <t>Conformité RGPD</t>
        </is>
      </c>
      <c r="B9" s="10" t="inlineStr">
        <is>
          <t>Oui - GDPR compliant</t>
        </is>
      </c>
      <c r="C9" s="10" t="inlineStr">
        <is>
          <t>Oui - GDPR compliant</t>
        </is>
      </c>
      <c r="D9" s="10" t="inlineStr">
        <is>
          <t>Oui - GDPR compliant</t>
        </is>
      </c>
      <c r="E9" s="10" t="inlineStr">
        <is>
          <t>Egalite</t>
        </is>
      </c>
      <c r="F9" s="10" t="inlineStr">
        <is>
          <t>Critique</t>
        </is>
      </c>
      <c r="G9" s="10" t="inlineStr">
        <is>
          <t>5/5</t>
        </is>
      </c>
    </row>
    <row r="10">
      <c r="A10" s="11" t="inlineStr">
        <is>
          <t>Bandwidth incluse/mois</t>
        </is>
      </c>
      <c r="B10" s="11" t="inlineStr">
        <is>
          <t>1 TB/mois</t>
        </is>
      </c>
      <c r="C10" s="11" t="inlineStr">
        <is>
          <t>100 MB/s unlimited</t>
        </is>
      </c>
      <c r="D10" s="11" t="inlineStr">
        <is>
          <t>100 GB only</t>
        </is>
      </c>
      <c r="E10" s="11" t="inlineStr">
        <is>
          <t>Hetzner/OVH</t>
        </is>
      </c>
      <c r="F10" s="11" t="inlineStr">
        <is>
          <t>Moyen</t>
        </is>
      </c>
      <c r="G10" s="11" t="inlineStr">
        <is>
          <t>4/5</t>
        </is>
      </c>
    </row>
    <row r="11">
      <c r="A11" s="10" t="inlineStr">
        <is>
          <t>Facilité scaling</t>
        </is>
      </c>
      <c r="B11" s="10" t="inlineStr">
        <is>
          <t>Dashboard simple</t>
        </is>
      </c>
      <c r="C11" s="10" t="inlineStr">
        <is>
          <t>Manager simple</t>
        </is>
      </c>
      <c r="D11" s="10" t="inlineStr">
        <is>
          <t>Auto-scaling complet</t>
        </is>
      </c>
      <c r="E11" s="10" t="inlineStr">
        <is>
          <t>AWS</t>
        </is>
      </c>
      <c r="F11" s="10" t="inlineStr">
        <is>
          <t>Moyen</t>
        </is>
      </c>
      <c r="G11" s="10" t="inlineStr">
        <is>
          <t>3/5</t>
        </is>
      </c>
    </row>
    <row r="12">
      <c r="A12" s="11" t="inlineStr">
        <is>
          <t>Support</t>
        </is>
      </c>
      <c r="B12" s="11" t="inlineStr">
        <is>
          <t>Communauté + tickets</t>
        </is>
      </c>
      <c r="C12" s="11" t="inlineStr">
        <is>
          <t>Support téléphonique</t>
        </is>
      </c>
      <c r="D12" s="11" t="inlineStr">
        <is>
          <t>24/7 Enterprise</t>
        </is>
      </c>
      <c r="E12" s="11" t="inlineStr">
        <is>
          <t>AWS</t>
        </is>
      </c>
      <c r="F12" s="11" t="inlineStr">
        <is>
          <t>Faible</t>
        </is>
      </c>
      <c r="G12" s="11" t="inlineStr">
        <is>
          <t>3/5</t>
        </is>
      </c>
    </row>
    <row r="13">
      <c r="A13" s="10" t="inlineStr">
        <is>
          <t>API / CLI</t>
        </is>
      </c>
      <c r="B13" s="10" t="inlineStr">
        <is>
          <t>Hetzner Cloud API</t>
        </is>
      </c>
      <c r="C13" s="10" t="inlineStr">
        <is>
          <t>OVH API</t>
        </is>
      </c>
      <c r="D13" s="10" t="inlineStr">
        <is>
          <t>AWS CLI complet</t>
        </is>
      </c>
      <c r="E13" s="10" t="inlineStr">
        <is>
          <t>AWS</t>
        </is>
      </c>
      <c r="F13" s="10" t="inlineStr">
        <is>
          <t>Faible</t>
        </is>
      </c>
      <c r="G13" s="10" t="inlineStr">
        <is>
          <t>3/5</t>
        </is>
      </c>
    </row>
    <row r="14">
      <c r="A14" s="11" t="inlineStr">
        <is>
          <t>Coût total 3 machines/mois</t>
        </is>
      </c>
      <c r="B14" s="11">
        <f>95</f>
        <v/>
      </c>
      <c r="C14" s="11">
        <f>140</f>
        <v/>
      </c>
      <c r="D14" s="11">
        <f>310</f>
        <v/>
      </c>
      <c r="E14" s="7" t="inlineStr">
        <is>
          <t>Hetzner</t>
        </is>
      </c>
      <c r="F14" s="11" t="inlineStr">
        <is>
          <t>Critique</t>
        </is>
      </c>
      <c r="G14" s="11" t="inlineStr">
        <is>
          <t>5/5</t>
        </is>
      </c>
    </row>
    <row r="17">
      <c r="A17" s="9" t="inlineStr">
        <is>
          <t>Benchmark Backend : Rust vs Go vs Node.js vs Python</t>
        </is>
      </c>
    </row>
    <row r="18">
      <c r="A18" s="4" t="inlineStr">
        <is>
          <t>Critère</t>
        </is>
      </c>
      <c r="B18" s="4" t="inlineStr">
        <is>
          <t>Rust (Axum)</t>
        </is>
      </c>
      <c r="C18" s="4" t="inlineStr">
        <is>
          <t>Go (Gin/Fiber)</t>
        </is>
      </c>
      <c r="D18" s="4" t="inlineStr">
        <is>
          <t>Node.js (Fastify)</t>
        </is>
      </c>
      <c r="E18" s="4" t="inlineStr">
        <is>
          <t>Python (FastAPI)</t>
        </is>
      </c>
      <c r="F18" s="4" t="inlineStr">
        <is>
          <t>Gagnant</t>
        </is>
      </c>
      <c r="G18" s="4" t="inlineStr">
        <is>
          <t>Importance</t>
        </is>
      </c>
    </row>
    <row r="19">
      <c r="A19" s="10" t="inlineStr">
        <is>
          <t>Upload vidéos 200 MB</t>
        </is>
      </c>
      <c r="B19" s="7" t="inlineStr">
        <is>
          <t>Zero-copy streaming</t>
        </is>
      </c>
      <c r="C19" s="10" t="inlineStr">
        <is>
          <t>io.Reader (copie)</t>
        </is>
      </c>
      <c r="D19" s="10" t="inlineStr">
        <is>
          <t>Multer (overhead)</t>
        </is>
      </c>
      <c r="E19" s="10" t="inlineStr">
        <is>
          <t>GIL bloquant</t>
        </is>
      </c>
      <c r="F19" s="10" t="inlineStr">
        <is>
          <t>Rust</t>
        </is>
      </c>
      <c r="G19" s="10" t="inlineStr">
        <is>
          <t>Critique</t>
        </is>
      </c>
    </row>
    <row r="20">
      <c r="A20" s="11" t="inlineStr">
        <is>
          <t>RAM serveur idle</t>
        </is>
      </c>
      <c r="B20" s="7" t="inlineStr">
        <is>
          <t>50-100 MB</t>
        </is>
      </c>
      <c r="C20" s="11" t="inlineStr">
        <is>
          <t>150-300 MB</t>
        </is>
      </c>
      <c r="D20" s="11" t="inlineStr">
        <is>
          <t>300-500 MB</t>
        </is>
      </c>
      <c r="E20" s="11" t="inlineStr">
        <is>
          <t>200-400 MB</t>
        </is>
      </c>
      <c r="F20" s="11" t="inlineStr">
        <is>
          <t>Rust</t>
        </is>
      </c>
      <c r="G20" s="11" t="inlineStr">
        <is>
          <t>Très important</t>
        </is>
      </c>
    </row>
    <row r="21">
      <c r="A21" s="10" t="inlineStr">
        <is>
          <t>Req/s (benchmark)</t>
        </is>
      </c>
      <c r="B21" s="7" t="inlineStr">
        <is>
          <t>100k+</t>
        </is>
      </c>
      <c r="C21" s="10" t="inlineStr">
        <is>
          <t>50k+</t>
        </is>
      </c>
      <c r="D21" s="10" t="inlineStr">
        <is>
          <t>20-40k</t>
        </is>
      </c>
      <c r="E21" s="10" t="inlineStr">
        <is>
          <t>5-10k</t>
        </is>
      </c>
      <c r="F21" s="10" t="inlineStr">
        <is>
          <t>Rust</t>
        </is>
      </c>
      <c r="G21" s="10" t="inlineStr">
        <is>
          <t>Important</t>
        </is>
      </c>
    </row>
    <row r="22">
      <c r="A22" s="11" t="inlineStr">
        <is>
          <t>Memory safety</t>
        </is>
      </c>
      <c r="B22" s="7" t="inlineStr">
        <is>
          <t>Garantie compile-time</t>
        </is>
      </c>
      <c r="C22" s="11" t="inlineStr">
        <is>
          <t>Nil pointers possibles</t>
        </is>
      </c>
      <c r="D22" s="11" t="inlineStr">
        <is>
          <t>Runtime errors</t>
        </is>
      </c>
      <c r="E22" s="11" t="inlineStr">
        <is>
          <t>Runtime errors</t>
        </is>
      </c>
      <c r="F22" s="11" t="inlineStr">
        <is>
          <t>Rust</t>
        </is>
      </c>
      <c r="G22" s="11" t="inlineStr">
        <is>
          <t>Très important</t>
        </is>
      </c>
    </row>
    <row r="23">
      <c r="A23" s="10" t="inlineStr">
        <is>
          <t>GC Pauses (latence)</t>
        </is>
      </c>
      <c r="B23" s="7" t="inlineStr">
        <is>
          <t>Aucune (no GC)</t>
        </is>
      </c>
      <c r="C23" s="10" t="inlineStr">
        <is>
          <t>10-50ms</t>
        </is>
      </c>
      <c r="D23" s="10" t="inlineStr">
        <is>
          <t>10-50ms</t>
        </is>
      </c>
      <c r="E23" s="10" t="inlineStr">
        <is>
          <t>GIL pauses</t>
        </is>
      </c>
      <c r="F23" s="10" t="inlineStr">
        <is>
          <t>Rust</t>
        </is>
      </c>
      <c r="G23" s="10" t="inlineStr">
        <is>
          <t>Important</t>
        </is>
      </c>
    </row>
    <row r="24">
      <c r="A24" s="11" t="inlineStr">
        <is>
          <t>Dev speed initial</t>
        </is>
      </c>
      <c r="B24" s="7" t="inlineStr">
        <is>
          <t>Lent (learning curve)</t>
        </is>
      </c>
      <c r="C24" s="11" t="inlineStr">
        <is>
          <t>Rapide</t>
        </is>
      </c>
      <c r="D24" s="11" t="inlineStr">
        <is>
          <t>Très rapide</t>
        </is>
      </c>
      <c r="E24" s="11" t="inlineStr">
        <is>
          <t>Très rapide</t>
        </is>
      </c>
      <c r="F24" s="11" t="inlineStr">
        <is>
          <t>Python/Node</t>
        </is>
      </c>
      <c r="G24" s="11" t="inlineStr">
        <is>
          <t>Moyen</t>
        </is>
      </c>
    </row>
    <row r="25">
      <c r="A25" s="10" t="inlineStr">
        <is>
          <t>Coût serveur 1k users</t>
        </is>
      </c>
      <c r="B25" s="7" t="inlineStr">
        <is>
          <t>24€/mois</t>
        </is>
      </c>
      <c r="C25" s="10" t="inlineStr">
        <is>
          <t>45€/mois</t>
        </is>
      </c>
      <c r="D25" s="10" t="inlineStr">
        <is>
          <t>70€/mois</t>
        </is>
      </c>
      <c r="E25" s="10" t="inlineStr">
        <is>
          <t>100€/mois</t>
        </is>
      </c>
      <c r="F25" s="10" t="inlineStr">
        <is>
          <t>Rust</t>
        </is>
      </c>
      <c r="G25" s="10" t="inlineStr">
        <is>
          <t>Très important</t>
        </is>
      </c>
    </row>
    <row r="26">
      <c r="A26" s="11" t="inlineStr">
        <is>
          <t>Argument RNCP/CV</t>
        </is>
      </c>
      <c r="B26" s="7" t="inlineStr">
        <is>
          <t>Expert (rare)</t>
        </is>
      </c>
      <c r="C26" s="11" t="inlineStr">
        <is>
          <t>Intermédiaire</t>
        </is>
      </c>
      <c r="D26" s="11" t="inlineStr">
        <is>
          <t>Standard</t>
        </is>
      </c>
      <c r="E26" s="11" t="inlineStr">
        <is>
          <t>Standard</t>
        </is>
      </c>
      <c r="F26" s="11" t="inlineStr">
        <is>
          <t>Rust</t>
        </is>
      </c>
      <c r="G26" s="11" t="inlineStr">
        <is>
          <t>Important</t>
        </is>
      </c>
    </row>
    <row r="29">
      <c r="A29" s="9" t="inlineStr">
        <is>
          <t>Benchmark Base de données : PostgreSQL vs MongoDB vs MySQL</t>
        </is>
      </c>
    </row>
    <row r="30">
      <c r="A30" s="4" t="inlineStr">
        <is>
          <t>Critère</t>
        </is>
      </c>
      <c r="B30" s="4" t="inlineStr">
        <is>
          <t>PostgreSQL</t>
        </is>
      </c>
      <c r="C30" s="4" t="inlineStr">
        <is>
          <t>MongoDB</t>
        </is>
      </c>
      <c r="D30" s="4" t="inlineStr">
        <is>
          <t>MySQL</t>
        </is>
      </c>
      <c r="E30" s="4" t="inlineStr">
        <is>
          <t>Gagnant</t>
        </is>
      </c>
      <c r="F30" s="4" t="inlineStr">
        <is>
          <t>Poids</t>
        </is>
      </c>
      <c r="G30" s="4" t="inlineStr">
        <is>
          <t>Notes</t>
        </is>
      </c>
    </row>
    <row r="31">
      <c r="A31" s="10" t="inlineStr">
        <is>
          <t>Requêtes complexes (JOIN)</t>
        </is>
      </c>
      <c r="B31" s="7" t="inlineStr">
        <is>
          <t>Excellent (SQL natif)</t>
        </is>
      </c>
      <c r="C31" s="10" t="inlineStr">
        <is>
          <t>Difficile (aggregate)</t>
        </is>
      </c>
      <c r="D31" s="10" t="inlineStr">
        <is>
          <t>Bon</t>
        </is>
      </c>
      <c r="E31" s="10" t="inlineStr">
        <is>
          <t>PostgreSQL</t>
        </is>
      </c>
      <c r="F31" s="10" t="inlineStr">
        <is>
          <t>Critique</t>
        </is>
      </c>
      <c r="G31" s="10" t="inlineStr">
        <is>
          <t>Analyses biomécanique = jointures multiples</t>
        </is>
      </c>
    </row>
    <row r="32">
      <c r="A32" s="11" t="inlineStr">
        <is>
          <t>Intégrité données (ACID)</t>
        </is>
      </c>
      <c r="B32" s="7" t="inlineStr">
        <is>
          <t>Excellent</t>
        </is>
      </c>
      <c r="C32" s="11" t="inlineStr">
        <is>
          <t>Partielle</t>
        </is>
      </c>
      <c r="D32" s="11" t="inlineStr">
        <is>
          <t>Bon</t>
        </is>
      </c>
      <c r="E32" s="11" t="inlineStr">
        <is>
          <t>PostgreSQL</t>
        </is>
      </c>
      <c r="F32" s="11" t="inlineStr">
        <is>
          <t>Critique</t>
        </is>
      </c>
      <c r="G32" s="11" t="inlineStr">
        <is>
          <t>Foreign keys, cascade delete</t>
        </is>
      </c>
    </row>
    <row r="33">
      <c r="A33" s="10" t="inlineStr">
        <is>
          <t>JSON/JSONB (landmarks ML)</t>
        </is>
      </c>
      <c r="B33" s="7" t="inlineStr">
        <is>
          <t>JSONB indexé natif</t>
        </is>
      </c>
      <c r="C33" s="10" t="inlineStr">
        <is>
          <t>JSON natif</t>
        </is>
      </c>
      <c r="D33" s="10" t="inlineStr">
        <is>
          <t>JSON limité</t>
        </is>
      </c>
      <c r="E33" s="10" t="inlineStr">
        <is>
          <t>PostgreSQL</t>
        </is>
      </c>
      <c r="F33" s="10" t="inlineStr">
        <is>
          <t>Important</t>
        </is>
      </c>
      <c r="G33" s="10" t="inlineStr">
        <is>
          <t>33 points MediaPipe → JSONB</t>
        </is>
      </c>
    </row>
    <row r="34">
      <c r="A34" s="11" t="inlineStr">
        <is>
          <t>Coût managed/mois (50GB)</t>
        </is>
      </c>
      <c r="B34" s="7" t="inlineStr">
        <is>
          <t>6€ (Hetzner)</t>
        </is>
      </c>
      <c r="C34" s="11" t="inlineStr">
        <is>
          <t>57€ (Atlas)</t>
        </is>
      </c>
      <c r="D34" s="11" t="inlineStr">
        <is>
          <t>8€ (Hetzner)</t>
        </is>
      </c>
      <c r="E34" s="11" t="inlineStr">
        <is>
          <t>PostgreSQL</t>
        </is>
      </c>
      <c r="F34" s="11" t="inlineStr">
        <is>
          <t>Très important</t>
        </is>
      </c>
      <c r="G34" s="11" t="inlineStr">
        <is>
          <t>MongoDB Atlas = 9.5x plus cher</t>
        </is>
      </c>
    </row>
    <row r="35">
      <c r="A35" s="10" t="inlineStr">
        <is>
          <t>Intégration Rust (SQLx)</t>
        </is>
      </c>
      <c r="B35" s="7" t="inlineStr">
        <is>
          <t>SQLx compile-time</t>
        </is>
      </c>
      <c r="C35" s="10" t="inlineStr">
        <is>
          <t>mongod-rs OK</t>
        </is>
      </c>
      <c r="D35" s="10" t="inlineStr">
        <is>
          <t>sqlx OK</t>
        </is>
      </c>
      <c r="E35" s="10" t="inlineStr">
        <is>
          <t>PostgreSQL</t>
        </is>
      </c>
      <c r="F35" s="10" t="inlineStr">
        <is>
          <t>Important</t>
        </is>
      </c>
      <c r="G35" s="10" t="inlineStr">
        <is>
          <t>Validation SQL au build</t>
        </is>
      </c>
    </row>
    <row r="36">
      <c r="A36" s="11" t="inlineStr">
        <is>
          <t>Full-text search</t>
        </is>
      </c>
      <c r="B36" s="7" t="inlineStr">
        <is>
          <t>Intégré (tsvector)</t>
        </is>
      </c>
      <c r="C36" s="11" t="inlineStr">
        <is>
          <t>Index basique</t>
        </is>
      </c>
      <c r="D36" s="11" t="inlineStr">
        <is>
          <t>Intégré</t>
        </is>
      </c>
      <c r="E36" s="11" t="inlineStr">
        <is>
          <t>PostgreSQL</t>
        </is>
      </c>
      <c r="F36" s="11" t="inlineStr">
        <is>
          <t>Moyen</t>
        </is>
      </c>
      <c r="G36" s="11" t="inlineStr">
        <is>
          <t>Pas besoin Elasticsearch</t>
        </is>
      </c>
    </row>
    <row r="37">
      <c r="A37" s="10" t="inlineStr">
        <is>
          <t>Extensions futures</t>
        </is>
      </c>
      <c r="B37" s="7" t="inlineStr">
        <is>
          <t>pgvector, TimescaleDB</t>
        </is>
      </c>
      <c r="C37" s="10" t="inlineStr">
        <is>
          <t>Limité</t>
        </is>
      </c>
      <c r="D37" s="10" t="inlineStr">
        <is>
          <t>Limité</t>
        </is>
      </c>
      <c r="E37" s="10" t="inlineStr">
        <is>
          <t>PostgreSQL</t>
        </is>
      </c>
      <c r="F37" s="10" t="inlineStr">
        <is>
          <t>Moyen</t>
        </is>
      </c>
      <c r="G37" s="10" t="inlineStr">
        <is>
          <t>pgvector = embeddings ML futurs</t>
        </is>
      </c>
    </row>
  </sheetData>
  <mergeCells count="4">
    <mergeCell ref="A3:G3"/>
    <mergeCell ref="A1:G1"/>
    <mergeCell ref="A17:G17"/>
    <mergeCell ref="A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5" customWidth="1" min="4" max="4"/>
    <col width="18" customWidth="1" min="5" max="5"/>
    <col width="35" customWidth="1" min="6" max="6"/>
  </cols>
  <sheetData>
    <row r="1" ht="35" customHeight="1">
      <c r="A1" s="4" t="inlineStr">
        <is>
          <t>PART 3 - BUDGET CAPEX &amp; OPEX</t>
        </is>
      </c>
    </row>
    <row r="3">
      <c r="A3" s="12" t="inlineStr">
        <is>
          <t>CAPEX - Capital Expenditure (Couts uniques)</t>
        </is>
      </c>
    </row>
    <row r="4">
      <c r="A4" s="4" t="inlineStr">
        <is>
          <t>Item</t>
        </is>
      </c>
      <c r="B4" s="4" t="inlineStr">
        <is>
          <t>Description</t>
        </is>
      </c>
      <c r="C4" s="4" t="inlineStr">
        <is>
          <t>Coût (EUR)</t>
        </is>
      </c>
      <c r="D4" s="4" t="inlineStr">
        <is>
          <t>Fréquence</t>
        </is>
      </c>
      <c r="E4" s="4" t="inlineStr">
        <is>
          <t>Obligatoire</t>
        </is>
      </c>
      <c r="F4" s="4" t="inlineStr">
        <is>
          <t>Justification</t>
        </is>
      </c>
    </row>
    <row r="5">
      <c r="A5" s="5" t="inlineStr">
        <is>
          <t>Apple Developer Account</t>
        </is>
      </c>
      <c r="B5" s="5" t="inlineStr">
        <is>
          <t>Publication App Store iOS</t>
        </is>
      </c>
      <c r="C5" s="6" t="n">
        <v>99</v>
      </c>
      <c r="D5" s="5" t="inlineStr">
        <is>
          <t>Annuel</t>
        </is>
      </c>
      <c r="E5" s="5" t="inlineStr">
        <is>
          <t>Oui</t>
        </is>
      </c>
      <c r="F5" s="5" t="inlineStr">
        <is>
          <t>Obligatoire pour distribuer sur iOS</t>
        </is>
      </c>
    </row>
    <row r="6">
      <c r="A6" s="11" t="inlineStr">
        <is>
          <t>Google Play Developer</t>
        </is>
      </c>
      <c r="B6" s="11" t="inlineStr">
        <is>
          <t>Publication Play Store Android</t>
        </is>
      </c>
      <c r="C6" s="14" t="n">
        <v>22</v>
      </c>
      <c r="D6" s="11" t="inlineStr">
        <is>
          <t>One-time</t>
        </is>
      </c>
      <c r="E6" s="11" t="inlineStr">
        <is>
          <t>Oui</t>
        </is>
      </c>
      <c r="F6" s="11" t="inlineStr">
        <is>
          <t>Obligatoire pour distribuer sur Android</t>
        </is>
      </c>
    </row>
    <row r="7">
      <c r="A7" s="5" t="inlineStr">
        <is>
          <t>Nom de domaine .com</t>
        </is>
      </c>
      <c r="B7" s="5" t="inlineStr">
        <is>
          <t>escalade-app.com (1 an)</t>
        </is>
      </c>
      <c r="C7" s="6" t="n">
        <v>12</v>
      </c>
      <c r="D7" s="5" t="inlineStr">
        <is>
          <t>Annuel</t>
        </is>
      </c>
      <c r="E7" s="5" t="inlineStr">
        <is>
          <t>Oui</t>
        </is>
      </c>
      <c r="F7" s="5" t="inlineStr">
        <is>
          <t>DNS + branding professionnel</t>
        </is>
      </c>
    </row>
    <row r="8">
      <c r="A8" s="15" t="inlineStr">
        <is>
          <t>TOTAL CAPEX</t>
        </is>
      </c>
      <c r="B8" s="15" t="inlineStr"/>
      <c r="C8" s="16">
        <f>SUM(C5:C7)</f>
        <v/>
      </c>
      <c r="D8" s="15" t="inlineStr"/>
      <c r="E8" s="15" t="inlineStr"/>
      <c r="F8" s="15" t="inlineStr"/>
    </row>
    <row r="10">
      <c r="A10" s="17" t="inlineStr">
        <is>
          <t>OPEX MVP - 100 users (Alpha/Beta)</t>
        </is>
      </c>
    </row>
    <row r="11">
      <c r="A11" s="4" t="inlineStr">
        <is>
          <t>Service</t>
        </is>
      </c>
      <c r="B11" s="4" t="inlineStr">
        <is>
          <t>Specs</t>
        </is>
      </c>
      <c r="C11" s="4" t="inlineStr">
        <is>
          <t>Coût/mois (EUR)</t>
        </is>
      </c>
      <c r="D11" s="4" t="inlineStr">
        <is>
          <t>Provider</t>
        </is>
      </c>
      <c r="E11" s="4" t="inlineStr">
        <is>
          <t>Conteneur(s)</t>
        </is>
      </c>
      <c r="F11" s="4" t="inlineStr">
        <is>
          <t>Justification</t>
        </is>
      </c>
    </row>
    <row r="12">
      <c r="A12" s="11" t="inlineStr">
        <is>
          <t>Machine 1 - API Server</t>
        </is>
      </c>
      <c r="B12" s="11" t="inlineStr">
        <is>
          <t>4 vCPU, 8 GB RAM, 80 GB SSD</t>
        </is>
      </c>
      <c r="C12" s="14" t="n">
        <v>15</v>
      </c>
      <c r="D12" s="11" t="inlineStr">
        <is>
          <t>Hetzner CX31</t>
        </is>
      </c>
      <c r="E12" s="11" t="inlineStr">
        <is>
          <t>nginx + axum-api + redis</t>
        </is>
      </c>
      <c r="F12" s="11" t="inlineStr">
        <is>
          <t>API REST + reverse proxy + cache</t>
        </is>
      </c>
    </row>
    <row r="13">
      <c r="A13" s="5" t="inlineStr">
        <is>
          <t>Machine 2 - Database</t>
        </is>
      </c>
      <c r="B13" s="5" t="inlineStr">
        <is>
          <t>4 vCPU, 16 GB RAM, 500 GB NVMe</t>
        </is>
      </c>
      <c r="C13" s="6" t="n">
        <v>25</v>
      </c>
      <c r="D13" s="5" t="inlineStr">
        <is>
          <t>Hetzner CX41</t>
        </is>
      </c>
      <c r="E13" s="5" t="inlineStr">
        <is>
          <t>postgresql + pg-backup</t>
        </is>
      </c>
      <c r="F13" s="5" t="inlineStr">
        <is>
          <t>PostgreSQL Master + backup auto</t>
        </is>
      </c>
    </row>
    <row r="14">
      <c r="A14" s="11" t="inlineStr">
        <is>
          <t>Machine 3 - ML Workers</t>
        </is>
      </c>
      <c r="B14" s="11" t="inlineStr">
        <is>
          <t>8 vCPU, 16 GB RAM, 100 GB SSD</t>
        </is>
      </c>
      <c r="C14" s="14" t="n">
        <v>45</v>
      </c>
      <c r="D14" s="11" t="inlineStr">
        <is>
          <t>Hetzner CX51</t>
        </is>
      </c>
      <c r="E14" s="11" t="inlineStr">
        <is>
          <t>celery-worker-1 + celery-worker-2</t>
        </is>
      </c>
      <c r="F14" s="11" t="inlineStr">
        <is>
          <t>Python ML: OpenCV + MediaPipe</t>
        </is>
      </c>
    </row>
    <row r="15">
      <c r="A15" s="5" t="inlineStr">
        <is>
          <t>Object Storage</t>
        </is>
      </c>
      <c r="B15" s="5" t="inlineStr">
        <is>
          <t>1 TB vidéos + backups</t>
        </is>
      </c>
      <c r="C15" s="6" t="n">
        <v>10</v>
      </c>
      <c r="D15" s="5" t="inlineStr">
        <is>
          <t>Hetzner Storage Box</t>
        </is>
      </c>
      <c r="E15" s="5" t="inlineStr">
        <is>
          <t>S3-compatible</t>
        </is>
      </c>
      <c r="F15" s="5" t="inlineStr">
        <is>
          <t>Stockage vidéos (100 MB/vidéo × 10k)</t>
        </is>
      </c>
    </row>
    <row r="16">
      <c r="A16" s="11" t="inlineStr">
        <is>
          <t>Domaine (prorata)</t>
        </is>
      </c>
      <c r="B16" s="11" t="inlineStr">
        <is>
          <t>escalade-app.com</t>
        </is>
      </c>
      <c r="C16" s="14" t="n">
        <v>1</v>
      </c>
      <c r="D16" s="11" t="inlineStr">
        <is>
          <t>OVH/Namecheap</t>
        </is>
      </c>
      <c r="E16" s="11" t="inlineStr">
        <is>
          <t>N/A</t>
        </is>
      </c>
      <c r="F16" s="11" t="inlineStr">
        <is>
          <t>12€/an divisé par 12</t>
        </is>
      </c>
    </row>
    <row r="17">
      <c r="A17" s="5" t="inlineStr">
        <is>
          <t>Monitoring</t>
        </is>
      </c>
      <c r="B17" s="5" t="inlineStr">
        <is>
          <t>Prometheus + Grafana</t>
        </is>
      </c>
      <c r="C17" s="6" t="n">
        <v>0</v>
      </c>
      <c r="D17" s="5" t="inlineStr">
        <is>
          <t>Self-hosted Machine 1</t>
        </is>
      </c>
      <c r="E17" s="5" t="inlineStr">
        <is>
          <t>prometheus + grafana</t>
        </is>
      </c>
      <c r="F17" s="5" t="inlineStr">
        <is>
          <t>Gratuit - self-hosted sur Machine 1</t>
        </is>
      </c>
    </row>
    <row r="18">
      <c r="A18" s="11" t="inlineStr">
        <is>
          <t>TOTAL OPEX MVP</t>
        </is>
      </c>
      <c r="B18" s="11" t="inlineStr"/>
      <c r="C18" s="14">
        <f>SUM(C12:C17)</f>
        <v/>
      </c>
      <c r="D18" s="11" t="inlineStr"/>
      <c r="E18" s="11" t="inlineStr"/>
      <c r="F18" s="11" t="inlineStr"/>
    </row>
    <row r="21">
      <c r="A21" s="18" t="inlineStr">
        <is>
          <t>OPEX SCALE - 1,000 users</t>
        </is>
      </c>
    </row>
    <row r="22">
      <c r="A22" s="4" t="inlineStr">
        <is>
          <t>Service</t>
        </is>
      </c>
      <c r="B22" s="4" t="inlineStr">
        <is>
          <t>Specs</t>
        </is>
      </c>
      <c r="C22" s="4" t="inlineStr">
        <is>
          <t>Coût/mois (EUR)</t>
        </is>
      </c>
      <c r="D22" s="4" t="inlineStr">
        <is>
          <t>Provider</t>
        </is>
      </c>
      <c r="E22" s="4" t="inlineStr">
        <is>
          <t>Évolution vs MVP</t>
        </is>
      </c>
      <c r="F22" s="4" t="inlineStr">
        <is>
          <t>Justification</t>
        </is>
      </c>
    </row>
    <row r="23">
      <c r="A23" s="5" t="inlineStr">
        <is>
          <t>Machine 1 - API Server</t>
        </is>
      </c>
      <c r="B23" s="5" t="inlineStr">
        <is>
          <t>4 vCPU, 8 GB RAM</t>
        </is>
      </c>
      <c r="C23" s="6" t="n">
        <v>15</v>
      </c>
      <c r="D23" s="5" t="inlineStr">
        <is>
          <t>Hetzner CX31</t>
        </is>
      </c>
      <c r="E23" s="5" t="inlineStr">
        <is>
          <t>Identique</t>
        </is>
      </c>
      <c r="F23" s="5" t="inlineStr">
        <is>
          <t>Rust = faible consommation RAM</t>
        </is>
      </c>
    </row>
    <row r="24">
      <c r="A24" s="11" t="inlineStr">
        <is>
          <t>Machine 2 - Database</t>
        </is>
      </c>
      <c r="B24" s="11" t="inlineStr">
        <is>
          <t>8 vCPU, 32 GB RAM, 1 TB NVMe</t>
        </is>
      </c>
      <c r="C24" s="14" t="n">
        <v>55</v>
      </c>
      <c r="D24" s="11" t="inlineStr">
        <is>
          <t>Hetzner CX61</t>
        </is>
      </c>
      <c r="E24" s="11" t="inlineStr">
        <is>
          <t>Upgrade (×2)</t>
        </is>
      </c>
      <c r="F24" s="11" t="inlineStr">
        <is>
          <t>Plus de connexions + données</t>
        </is>
      </c>
    </row>
    <row r="25">
      <c r="A25" s="5" t="inlineStr">
        <is>
          <t>Machine 3+4 - ML Workers</t>
        </is>
      </c>
      <c r="B25" s="5" t="inlineStr">
        <is>
          <t>8 vCPU, 16 GB RAM × 2</t>
        </is>
      </c>
      <c r="C25" s="6" t="n">
        <v>90</v>
      </c>
      <c r="D25" s="5" t="inlineStr">
        <is>
          <t>Hetzner CX51 ×2</t>
        </is>
      </c>
      <c r="E25" s="5" t="inlineStr">
        <is>
          <t>+1 worker (×2)</t>
        </is>
      </c>
      <c r="F25" s="5" t="inlineStr">
        <is>
          <t>Volume vidéos multiplié × 10</t>
        </is>
      </c>
    </row>
    <row r="26">
      <c r="A26" s="11" t="inlineStr">
        <is>
          <t>Object Storage</t>
        </is>
      </c>
      <c r="B26" s="11" t="inlineStr">
        <is>
          <t>5 TB vidéos</t>
        </is>
      </c>
      <c r="C26" s="14" t="n">
        <v>35</v>
      </c>
      <c r="D26" s="11" t="inlineStr">
        <is>
          <t>Hetzner Storage Box</t>
        </is>
      </c>
      <c r="E26" s="11" t="inlineStr">
        <is>
          <t>+4 TB (×5)</t>
        </is>
      </c>
      <c r="F26" s="11" t="inlineStr">
        <is>
          <t>10k vidéos à analyser</t>
        </is>
      </c>
    </row>
    <row r="27">
      <c r="A27" s="5" t="inlineStr">
        <is>
          <t>Redis (dédié)</t>
        </is>
      </c>
      <c r="B27" s="5" t="inlineStr">
        <is>
          <t>2 vCPU, 4 GB RAM</t>
        </is>
      </c>
      <c r="C27" s="6" t="n">
        <v>12</v>
      </c>
      <c r="D27" s="5" t="inlineStr">
        <is>
          <t>Hetzner CX21</t>
        </is>
      </c>
      <c r="E27" s="5" t="inlineStr">
        <is>
          <t>Nouveau</t>
        </is>
      </c>
      <c r="F27" s="5" t="inlineStr">
        <is>
          <t>Cache dédié sessions + résultats</t>
        </is>
      </c>
    </row>
    <row r="28">
      <c r="A28" s="11" t="inlineStr">
        <is>
          <t>CDN (optionnel)</t>
        </is>
      </c>
      <c r="B28" s="11" t="inlineStr">
        <is>
          <t>500 GB bandwidth</t>
        </is>
      </c>
      <c r="C28" s="14" t="n">
        <v>8</v>
      </c>
      <c r="D28" s="11" t="inlineStr">
        <is>
          <t>BunnyCDN</t>
        </is>
      </c>
      <c r="E28" s="11" t="inlineStr">
        <is>
          <t>Nouveau</t>
        </is>
      </c>
      <c r="F28" s="11" t="inlineStr">
        <is>
          <t>Servir vidéos rapidement</t>
        </is>
      </c>
    </row>
    <row r="29">
      <c r="A29" s="5" t="inlineStr">
        <is>
          <t>Monitoring Pro</t>
        </is>
      </c>
      <c r="B29" s="5" t="inlineStr">
        <is>
          <t>Sentry paid tier</t>
        </is>
      </c>
      <c r="C29" s="6" t="n">
        <v>15</v>
      </c>
      <c r="D29" s="5" t="inlineStr">
        <is>
          <t>Sentry.io</t>
        </is>
      </c>
      <c r="E29" s="5" t="inlineStr">
        <is>
          <t>Upgrade</t>
        </is>
      </c>
      <c r="F29" s="5" t="inlineStr">
        <is>
          <t>Plus de volume d'erreurs à tracer</t>
        </is>
      </c>
    </row>
    <row r="30">
      <c r="A30" s="11" t="inlineStr">
        <is>
          <t>Domaine</t>
        </is>
      </c>
      <c r="B30" s="11" t="inlineStr">
        <is>
          <t>escalade-app.com</t>
        </is>
      </c>
      <c r="C30" s="14" t="n">
        <v>1</v>
      </c>
      <c r="D30" s="11" t="inlineStr">
        <is>
          <t>OVH/Namecheap</t>
        </is>
      </c>
      <c r="E30" s="11" t="inlineStr">
        <is>
          <t>Identique</t>
        </is>
      </c>
      <c r="F30" s="11" t="inlineStr"/>
    </row>
    <row r="31">
      <c r="A31" s="19" t="inlineStr">
        <is>
          <t>TOTAL OPEX 1k users</t>
        </is>
      </c>
      <c r="B31" s="19" t="inlineStr"/>
      <c r="C31" s="20">
        <f>SUM(C23:C30)</f>
        <v/>
      </c>
      <c r="D31" s="19" t="inlineStr"/>
      <c r="E31" s="19" t="inlineStr"/>
      <c r="F31" s="19" t="inlineStr"/>
    </row>
    <row r="33">
      <c r="A33" s="21" t="inlineStr">
        <is>
          <t>Viabilite Economique - Freemium 9.99EUR/mois</t>
        </is>
      </c>
    </row>
    <row r="34">
      <c r="A34" s="4" t="inlineStr">
        <is>
          <t>Scenario</t>
        </is>
      </c>
      <c r="B34" s="4" t="inlineStr">
        <is>
          <t>Users Total</t>
        </is>
      </c>
      <c r="C34" s="4" t="inlineStr">
        <is>
          <t>OPEX/mois</t>
        </is>
      </c>
      <c r="D34" s="4" t="inlineStr">
        <is>
          <t>Payants (10%)</t>
        </is>
      </c>
      <c r="E34" s="4" t="inlineStr">
        <is>
          <t>Revenu/mois</t>
        </is>
      </c>
      <c r="F34" s="4" t="inlineStr">
        <is>
          <t>Marge</t>
        </is>
      </c>
    </row>
    <row r="35">
      <c r="A35" s="22" t="inlineStr">
        <is>
          <t>MVP (Alpha/Beta)</t>
        </is>
      </c>
      <c r="B35" s="22" t="n">
        <v>100</v>
      </c>
      <c r="C35" s="23">
        <f>C18</f>
        <v/>
      </c>
      <c r="D35" s="22">
        <f>B35*0.1</f>
        <v/>
      </c>
      <c r="E35" s="23">
        <f>D35*9.99</f>
        <v/>
      </c>
      <c r="F35" s="24">
        <f>E35-C35</f>
        <v/>
      </c>
    </row>
    <row r="36">
      <c r="A36" s="22" t="inlineStr">
        <is>
          <t>Scale 1k</t>
        </is>
      </c>
      <c r="B36" s="22" t="n">
        <v>1000</v>
      </c>
      <c r="C36" s="23">
        <f>C31</f>
        <v/>
      </c>
      <c r="D36" s="22">
        <f>B36*0.1</f>
        <v/>
      </c>
      <c r="E36" s="23">
        <f>D36*9.99</f>
        <v/>
      </c>
      <c r="F36" s="24">
        <f>E36-C36</f>
        <v/>
      </c>
    </row>
    <row r="37">
      <c r="A37" s="22" t="inlineStr">
        <is>
          <t>Scale 10k</t>
        </is>
      </c>
      <c r="B37" s="22" t="n">
        <v>10000</v>
      </c>
      <c r="C37" s="23" t="n">
        <v>655</v>
      </c>
      <c r="D37" s="22">
        <f>B37*0.1</f>
        <v/>
      </c>
      <c r="E37" s="23">
        <f>D37*9.99</f>
        <v/>
      </c>
      <c r="F37" s="24">
        <f>E37-C37</f>
        <v/>
      </c>
    </row>
  </sheetData>
  <mergeCells count="5">
    <mergeCell ref="A33:F33"/>
    <mergeCell ref="A10:F10"/>
    <mergeCell ref="A1:F1"/>
    <mergeCell ref="A3:F3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5" customHeight="1">
      <c r="A1" s="4" t="inlineStr">
        <is>
          <t>ARCHITECTURE TECHNIQUE &amp; SIZING</t>
        </is>
      </c>
    </row>
    <row r="3">
      <c r="A3" s="17" t="inlineStr">
        <is>
          <t>Configuration Minimale (MVP)</t>
        </is>
      </c>
    </row>
    <row r="4">
      <c r="A4" s="4" t="inlineStr">
        <is>
          <t>Machine</t>
        </is>
      </c>
      <c r="B4" s="4" t="inlineStr">
        <is>
          <t>CPU Physique</t>
        </is>
      </c>
      <c r="C4" s="4" t="inlineStr">
        <is>
          <t>RAM</t>
        </is>
      </c>
      <c r="D4" s="4" t="inlineStr">
        <is>
          <t>Stockage</t>
        </is>
      </c>
    </row>
    <row r="5">
      <c r="A5" s="5" t="inlineStr">
        <is>
          <t>Machine 1 - API + Redis + Nginx</t>
        </is>
      </c>
      <c r="B5" s="5" t="inlineStr">
        <is>
          <t>4 vCPU (2 cœurs physiques × 2 HT)</t>
        </is>
      </c>
      <c r="C5" s="5" t="inlineStr">
        <is>
          <t>8 GB DDR4</t>
        </is>
      </c>
      <c r="D5" s="5" t="inlineStr">
        <is>
          <t>80 GB SSD</t>
        </is>
      </c>
    </row>
    <row r="6">
      <c r="A6" s="11" t="inlineStr">
        <is>
          <t>Machine 2 - PostgreSQL</t>
        </is>
      </c>
      <c r="B6" s="11" t="inlineStr">
        <is>
          <t>4 vCPU (2 cœurs physiques × 2 HT)</t>
        </is>
      </c>
      <c r="C6" s="11" t="inlineStr">
        <is>
          <t>16 GB DDR4</t>
        </is>
      </c>
      <c r="D6" s="11" t="inlineStr">
        <is>
          <t>500 GB NVMe</t>
        </is>
      </c>
    </row>
    <row r="7">
      <c r="A7" s="5" t="inlineStr">
        <is>
          <t>Machine 3 - Python ML Workers</t>
        </is>
      </c>
      <c r="B7" s="5" t="inlineStr">
        <is>
          <t>8 vCPU (4 cœurs physiques × 2 HT)</t>
        </is>
      </c>
      <c r="C7" s="5" t="inlineStr">
        <is>
          <t>16 GB DDR4</t>
        </is>
      </c>
      <c r="D7" s="5" t="inlineStr">
        <is>
          <t>100 GB SSD</t>
        </is>
      </c>
    </row>
    <row r="8">
      <c r="A8" s="11" t="inlineStr">
        <is>
          <t>Object Storage (externalisé)</t>
        </is>
      </c>
      <c r="B8" s="11" t="inlineStr">
        <is>
          <t>N/A</t>
        </is>
      </c>
      <c r="C8" s="11" t="inlineStr">
        <is>
          <t>N/A</t>
        </is>
      </c>
      <c r="D8" s="11" t="inlineStr">
        <is>
          <t>1 TB S3-compatible</t>
        </is>
      </c>
    </row>
    <row r="9">
      <c r="A9" s="15" t="inlineStr">
        <is>
          <t>TOTAL</t>
        </is>
      </c>
      <c r="B9" s="15" t="inlineStr">
        <is>
          <t>16 vCPU (8 cœurs physiques)</t>
        </is>
      </c>
      <c r="C9" s="15" t="inlineStr">
        <is>
          <t>40 GB RAM</t>
        </is>
      </c>
      <c r="D9" s="15" t="inlineStr">
        <is>
          <t>1.68 TB</t>
        </is>
      </c>
    </row>
    <row r="11">
      <c r="A11" s="9" t="inlineStr">
        <is>
          <t>Allocation Docker Conteneurs par Machine</t>
        </is>
      </c>
    </row>
    <row r="12">
      <c r="A12" s="4" t="inlineStr">
        <is>
          <t>Conteneur</t>
        </is>
      </c>
      <c r="B12" s="4" t="inlineStr">
        <is>
          <t>Machine</t>
        </is>
      </c>
      <c r="C12" s="4" t="inlineStr">
        <is>
          <t>CPU alloué</t>
        </is>
      </c>
      <c r="D12" s="4" t="inlineStr">
        <is>
          <t>RAM allouée</t>
        </is>
      </c>
    </row>
    <row r="13">
      <c r="A13" s="10" t="inlineStr">
        <is>
          <t>nginx</t>
        </is>
      </c>
      <c r="B13" s="10" t="inlineStr">
        <is>
          <t>Machine 1</t>
        </is>
      </c>
      <c r="C13" s="10" t="inlineStr">
        <is>
          <t>0.5 CPU</t>
        </is>
      </c>
      <c r="D13" s="10" t="inlineStr">
        <is>
          <t>512 MB</t>
        </is>
      </c>
    </row>
    <row r="14">
      <c r="A14" s="11" t="inlineStr">
        <is>
          <t>axum-api</t>
        </is>
      </c>
      <c r="B14" s="11" t="inlineStr">
        <is>
          <t>Machine 1</t>
        </is>
      </c>
      <c r="C14" s="11" t="inlineStr">
        <is>
          <t>2.0 CPU</t>
        </is>
      </c>
      <c r="D14" s="11" t="inlineStr">
        <is>
          <t>2 GB</t>
        </is>
      </c>
    </row>
    <row r="15">
      <c r="A15" s="10" t="inlineStr">
        <is>
          <t>redis</t>
        </is>
      </c>
      <c r="B15" s="10" t="inlineStr">
        <is>
          <t>Machine 1</t>
        </is>
      </c>
      <c r="C15" s="10" t="inlineStr">
        <is>
          <t>0.5 CPU</t>
        </is>
      </c>
      <c r="D15" s="10" t="inlineStr">
        <is>
          <t>1 GB</t>
        </is>
      </c>
    </row>
    <row r="16">
      <c r="A16" s="11" t="inlineStr">
        <is>
          <t>postgresql-master</t>
        </is>
      </c>
      <c r="B16" s="11" t="inlineStr">
        <is>
          <t>Machine 2</t>
        </is>
      </c>
      <c r="C16" s="11" t="inlineStr">
        <is>
          <t>3.0 CPU</t>
        </is>
      </c>
      <c r="D16" s="11" t="inlineStr">
        <is>
          <t>12 GB</t>
        </is>
      </c>
    </row>
    <row r="17">
      <c r="A17" s="10" t="inlineStr">
        <is>
          <t>postgresql-backup</t>
        </is>
      </c>
      <c r="B17" s="10" t="inlineStr">
        <is>
          <t>Machine 2</t>
        </is>
      </c>
      <c r="C17" s="10" t="inlineStr">
        <is>
          <t>0.5 CPU</t>
        </is>
      </c>
      <c r="D17" s="10" t="inlineStr">
        <is>
          <t>512 MB</t>
        </is>
      </c>
    </row>
    <row r="18">
      <c r="A18" s="11" t="inlineStr">
        <is>
          <t>celery-worker-1</t>
        </is>
      </c>
      <c r="B18" s="11" t="inlineStr">
        <is>
          <t>Machine 3</t>
        </is>
      </c>
      <c r="C18" s="11" t="inlineStr">
        <is>
          <t>3.0 CPU</t>
        </is>
      </c>
      <c r="D18" s="11" t="inlineStr">
        <is>
          <t>6 GB</t>
        </is>
      </c>
    </row>
    <row r="19">
      <c r="A19" s="10" t="inlineStr">
        <is>
          <t>celery-worker-2</t>
        </is>
      </c>
      <c r="B19" s="10" t="inlineStr">
        <is>
          <t>Machine 3</t>
        </is>
      </c>
      <c r="C19" s="10" t="inlineStr">
        <is>
          <t>3.0 CPU</t>
        </is>
      </c>
      <c r="D19" s="10" t="inlineStr">
        <is>
          <t>6 GB</t>
        </is>
      </c>
    </row>
    <row r="20">
      <c r="A20" s="11" t="inlineStr">
        <is>
          <t>flower-monitor</t>
        </is>
      </c>
      <c r="B20" s="11" t="inlineStr">
        <is>
          <t>Machine 3</t>
        </is>
      </c>
      <c r="C20" s="11" t="inlineStr">
        <is>
          <t>0.5 CPU</t>
        </is>
      </c>
      <c r="D20" s="11" t="inlineStr">
        <is>
          <t>512 MB</t>
        </is>
      </c>
    </row>
    <row r="22">
      <c r="A22" s="12" t="inlineStr">
        <is>
          <t>Capacites &amp; Limites MVP</t>
        </is>
      </c>
    </row>
    <row r="23">
      <c r="A23" s="4" t="inlineStr">
        <is>
          <t>Métrique</t>
        </is>
      </c>
      <c r="B23" s="4" t="inlineStr">
        <is>
          <t>Valeur</t>
        </is>
      </c>
    </row>
    <row r="24">
      <c r="A24" s="11" t="inlineStr">
        <is>
          <t>Users simultanés supportés</t>
        </is>
      </c>
      <c r="B24" s="11" t="inlineStr">
        <is>
          <t>200-500</t>
        </is>
      </c>
    </row>
    <row r="25">
      <c r="A25" s="10" t="inlineStr">
        <is>
          <t>Videos analysées/heure</t>
        </is>
      </c>
      <c r="B25" s="10" t="inlineStr">
        <is>
          <t>10-15 (2 workers × ~7/h)</t>
        </is>
      </c>
    </row>
    <row r="26">
      <c r="A26" s="11" t="inlineStr">
        <is>
          <t>Stockage vidéos max</t>
        </is>
      </c>
      <c r="B26" s="11" t="inlineStr">
        <is>
          <t>10 000 vidéos (1 TB)</t>
        </is>
      </c>
    </row>
    <row r="27">
      <c r="A27" s="10" t="inlineStr">
        <is>
          <t>Disponibilité estimée</t>
        </is>
      </c>
      <c r="B27" s="10" t="inlineStr">
        <is>
          <t>~99% (downtime &lt; 7h/mois)</t>
        </is>
      </c>
    </row>
    <row r="28">
      <c r="A28" s="11" t="inlineStr">
        <is>
          <t>Latence API (p95)</t>
        </is>
      </c>
      <c r="B28" s="11" t="inlineStr">
        <is>
          <t>&lt; 100ms</t>
        </is>
      </c>
    </row>
    <row r="29">
      <c r="A29" s="10" t="inlineStr">
        <is>
          <t>Temps analyse vidéo</t>
        </is>
      </c>
      <c r="B29" s="10" t="inlineStr">
        <is>
          <t>2-5 minutes (queue async)</t>
        </is>
      </c>
    </row>
  </sheetData>
  <mergeCells count="4">
    <mergeCell ref="A22:D22"/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2026-02-16T09:39:49Z</dcterms:created>
  <dcterms:modified xmlns:dcterms="http://purl.org/dc/terms/" xmlns:xsi="http://www.w3.org/2001/XMLSchema-instance" xsi:type="dcterms:W3CDTF">2026-02-16T09:39:49Z</dcterms:modified>
</cp:coreProperties>
</file>